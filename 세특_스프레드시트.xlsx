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세특작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8"/>
      <sz val="16"/>
    </font>
    <font>
      <name val="맑은 고딕"/>
      <sz val="11"/>
    </font>
    <font>
      <name val="맑은 고딕"/>
      <b val="1"/>
      <color rgb="001F4E78"/>
      <sz val="12"/>
    </font>
    <font>
      <name val="맑은 고딕"/>
      <i val="1"/>
      <color rgb="00808080"/>
      <sz val="10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5" fillId="2" borderId="1" applyAlignment="1" pivotButton="0" quotePrefix="0" xfId="0">
      <alignment horizontal="center"/>
    </xf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name val="맑은 고딕"/>
        <b val="1"/>
        <color rgb="009C0006"/>
        <sz val="10"/>
      </font>
      <fill>
        <patternFill patternType="solid">
          <fgColor rgb="00FFC7CE"/>
        </patternFill>
      </fill>
    </dxf>
    <dxf>
      <font>
        <name val="맑은 고딕"/>
        <color rgb="00006100"/>
        <sz val="1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system</author>
  </authors>
  <commentList>
    <comment ref="B1" authorId="0" shapeId="0">
      <text>
        <t>이 값을 바꾸면 아래 모든 행의 '상태' 판정 기준이 함께 바뀝니다.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과목별 세부능력 및 특기사항(세특) 작성 스프레드시트</t>
        </is>
      </c>
    </row>
    <row r="2" ht="14" customHeight="1">
      <c r="A2" s="2" t="inlineStr"/>
    </row>
    <row r="3" ht="18" customHeight="1">
      <c r="A3" s="2" t="inlineStr">
        <is>
          <t>이 파일은 학생이 수행한 결과물(PDF) 또는 직접 입력한 자료를 바탕으로,</t>
        </is>
      </c>
    </row>
    <row r="4" ht="18" customHeight="1">
      <c r="A4" s="2" t="inlineStr">
        <is>
          <t>엑셀 함수(TEXTJOIN, IF 등)를 이용해 과목별 세특 문구 초안을 자동으로 조립해주는 도구입니다.</t>
        </is>
      </c>
    </row>
    <row r="5" ht="10" customHeight="1">
      <c r="A5" s="2" t="inlineStr"/>
    </row>
    <row r="6" ht="20" customHeight="1">
      <c r="A6" s="3" t="inlineStr">
        <is>
          <t>사용 순서</t>
        </is>
      </c>
    </row>
    <row r="7" ht="18" customHeight="1">
      <c r="A7" s="2" t="inlineStr">
        <is>
          <t>1. 'PDF 자료'가 있는 경우: PDF 결과물의 핵심 내용을 확인한 뒤, 활동명 / 수행내용 / 배운점(성장)으로</t>
        </is>
      </c>
    </row>
    <row r="8" ht="18" customHeight="1">
      <c r="A8" s="2" t="inlineStr">
        <is>
          <t xml:space="preserve">   요약하여 '세특작성' 시트에 입력하세요. (엑셀 함수는 PDF 파일을 직접 읽을 수 없어, 내용을 사람이</t>
        </is>
      </c>
    </row>
    <row r="9" ht="18" customHeight="1">
      <c r="A9" s="2" t="inlineStr">
        <is>
          <t xml:space="preserve">   먼저 구조화된 형태로 옮겨 적어야 합니다.)</t>
        </is>
      </c>
    </row>
    <row r="10" ht="18" customHeight="1">
      <c r="A10" s="2" t="inlineStr">
        <is>
          <t>2. '직접 입력'하는 경우에도 동일하게 활동명 / 수행내용 / 배운점 형태로 나누어 입력하세요.</t>
        </is>
      </c>
    </row>
    <row r="11" ht="18" customHeight="1">
      <c r="A11" s="2" t="inlineStr">
        <is>
          <t>3. 학생 한 명·한 과목당 한 행에 최대 3개까지의 활동을 입력할 수 있습니다. (노란색 셀이 입력 칸)</t>
        </is>
      </c>
    </row>
    <row r="12" ht="18" customHeight="1">
      <c r="A12" s="2" t="inlineStr">
        <is>
          <t>4. '세특 초안' 열에 각 활동이 자동으로 연결되어 하나의 문단으로 조립됩니다.</t>
        </is>
      </c>
    </row>
    <row r="13" ht="18" customHeight="1">
      <c r="A13" s="2" t="inlineStr">
        <is>
          <t>5. '글자수'와 '상태' 열에서 목표 글자수(B1) 대비 적정/초과 여부를 바로 확인할 수 있습니다.</t>
        </is>
      </c>
    </row>
    <row r="14" ht="18" customHeight="1">
      <c r="A14" s="2" t="inlineStr">
        <is>
          <t>6. 자동 생성된 초안은 반드시 교사가 사실관계와 문장을 검토·수정한 후 학교생활기록부에 반영하세요.</t>
        </is>
      </c>
    </row>
    <row r="15" ht="10" customHeight="1">
      <c r="A15" s="2" t="inlineStr"/>
    </row>
    <row r="16" ht="20" customHeight="1">
      <c r="A16" s="3" t="inlineStr">
        <is>
          <t>색상 범례</t>
        </is>
      </c>
    </row>
    <row r="17" ht="18" customHeight="1">
      <c r="A17" s="2" t="inlineStr">
        <is>
          <t>노란색 셀 : 직접 입력하는 칸 (학생 정보, 활동명, 수행내용, 배운점, 목표 글자수 등)</t>
        </is>
      </c>
    </row>
    <row r="18" ht="18" customHeight="1">
      <c r="A18" s="2" t="inlineStr">
        <is>
          <t>회색 셀   : 수식으로 자동 계산되는 칸 (세특 초안, 글자수, 상태) — 직접 수정하지 마세요.</t>
        </is>
      </c>
    </row>
    <row r="19" ht="10" customHeight="1">
      <c r="A19" s="2" t="inlineStr"/>
    </row>
    <row r="20" ht="16" customHeight="1">
      <c r="A20" s="4" t="inlineStr">
        <is>
          <t>* AI를 이용해 더 자연스러운 문장으로 자동 생성하고 싶다면, 별도로 제공된 Streamlit 앱</t>
        </is>
      </c>
    </row>
    <row r="21" ht="16" customHeight="1">
      <c r="A21" s="4" t="inlineStr">
        <is>
          <t xml:space="preserve">  (app.py, Claude API 연동)을 함께 사용하는 것을 권장합니다. 이 스프레드시트는 인터넷/AI 없이</t>
        </is>
      </c>
    </row>
    <row r="22" ht="16" customHeight="1">
      <c r="A22" s="4" t="inlineStr">
        <is>
          <t xml:space="preserve">  엑셀 함수만으로 빠르게 초안을 조립하고 싶을 때 사용하는 용도입니다.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2" customWidth="1" min="4" max="4"/>
    <col width="16" customWidth="1" min="5" max="5"/>
    <col width="22" customWidth="1" min="6" max="6"/>
    <col width="22" customWidth="1" min="7" max="7"/>
    <col width="16" customWidth="1" min="8" max="8"/>
    <col width="22" customWidth="1" min="9" max="9"/>
    <col width="22" customWidth="1" min="10" max="10"/>
    <col width="16" customWidth="1" min="11" max="11"/>
    <col width="22" customWidth="1" min="12" max="12"/>
    <col width="22" customWidth="1" min="13" max="13"/>
    <col width="20" customWidth="1" min="14" max="14"/>
    <col width="55" customWidth="1" min="15" max="15"/>
    <col width="8" customWidth="1" min="16" max="16"/>
    <col width="12" customWidth="1" min="17" max="17"/>
  </cols>
  <sheetData>
    <row r="1">
      <c r="A1" s="5" t="inlineStr">
        <is>
          <t>목표 글자수 (공백 포함):</t>
        </is>
      </c>
      <c r="B1" s="6" t="n">
        <v>800</v>
      </c>
      <c r="C1" s="7" t="inlineStr">
        <is>
          <t>(값을 바꾸면 전체 행의 글자수 상태가 자동으로 갱신됩니다)</t>
        </is>
      </c>
    </row>
    <row r="3" ht="30" customHeight="1">
      <c r="A3" s="8" t="inlineStr">
        <is>
          <t>순번</t>
        </is>
      </c>
      <c r="B3" s="8" t="inlineStr">
        <is>
          <t>학생 이름</t>
        </is>
      </c>
      <c r="C3" s="8" t="inlineStr">
        <is>
          <t>학년/반/번호</t>
        </is>
      </c>
      <c r="D3" s="8" t="inlineStr">
        <is>
          <t>과목</t>
        </is>
      </c>
      <c r="E3" s="8" t="inlineStr">
        <is>
          <t>활동1
활동명</t>
        </is>
      </c>
      <c r="F3" s="8" t="inlineStr">
        <is>
          <t>활동1
수행내용</t>
        </is>
      </c>
      <c r="G3" s="8" t="inlineStr">
        <is>
          <t>활동1
배운점/성장</t>
        </is>
      </c>
      <c r="H3" s="8" t="inlineStr">
        <is>
          <t>활동2
활동명</t>
        </is>
      </c>
      <c r="I3" s="8" t="inlineStr">
        <is>
          <t>활동2
수행내용</t>
        </is>
      </c>
      <c r="J3" s="8" t="inlineStr">
        <is>
          <t>활동2
배운점/성장</t>
        </is>
      </c>
      <c r="K3" s="8" t="inlineStr">
        <is>
          <t>활동3
활동명</t>
        </is>
      </c>
      <c r="L3" s="8" t="inlineStr">
        <is>
          <t>활동3
수행내용</t>
        </is>
      </c>
      <c r="M3" s="8" t="inlineStr">
        <is>
          <t>활동3
배운점/성장</t>
        </is>
      </c>
      <c r="N3" s="8" t="inlineStr">
        <is>
          <t>마무리 강조문구
(선택)</t>
        </is>
      </c>
      <c r="O3" s="8" t="inlineStr">
        <is>
          <t>세특 초안 (자동 생성)</t>
        </is>
      </c>
      <c r="P3" s="8" t="inlineStr">
        <is>
          <t>글자수</t>
        </is>
      </c>
      <c r="Q3" s="8" t="inlineStr">
        <is>
          <t>상태</t>
        </is>
      </c>
    </row>
    <row r="4" ht="18" customHeight="1">
      <c r="A4" s="9">
        <f>IF(B4="","",ROW()-3)</f>
        <v/>
      </c>
      <c r="B4" s="10" t="inlineStr">
        <is>
          <t>홍길동</t>
        </is>
      </c>
      <c r="C4" s="10" t="inlineStr">
        <is>
          <t>2학년 3반 15번</t>
        </is>
      </c>
      <c r="D4" s="10" t="inlineStr">
        <is>
          <t>과학</t>
        </is>
      </c>
      <c r="E4" s="10" t="inlineStr">
        <is>
          <t>광합성 실험 탐구</t>
        </is>
      </c>
      <c r="F4" s="10" t="inlineStr">
        <is>
          <t>빛의 세기에 따른 산소 발생량을 측정하는 실험을 설계</t>
        </is>
      </c>
      <c r="G4" s="10" t="inlineStr">
        <is>
          <t>정량적 데이터 분석 능력과 협업 태도</t>
        </is>
      </c>
      <c r="H4" s="10" t="inlineStr">
        <is>
          <t>탐구보고서 작성</t>
        </is>
      </c>
      <c r="I4" s="10" t="inlineStr">
        <is>
          <t>실험 결과를 그래프로 정리하여 발표 자료를 제작</t>
        </is>
      </c>
      <c r="J4" s="10" t="inlineStr">
        <is>
          <t>논리적으로 결론을 도출하는 과정</t>
        </is>
      </c>
      <c r="K4" s="10" t="inlineStr"/>
      <c r="L4" s="10" t="inlineStr"/>
      <c r="M4" s="10" t="inlineStr"/>
      <c r="N4" s="10" t="inlineStr">
        <is>
          <t>과학적 탐구에 대한 높은 흥미와 성실한 태도가 돋보임</t>
        </is>
      </c>
      <c r="O4" s="11">
        <f>IF($B4="","",_xlfn.TEXTJOIN(" ",TRUE,IF($E4&lt;&gt;"","'"&amp;$E4&amp;"' 활동에 참여하여 "&amp;$F4&amp;"을(를) 수행함."&amp;IF($G4&lt;&gt;""," "&amp;$G4&amp;"을(를) 보임.",""),""),IF($H4&lt;&gt;"","'"&amp;$H4&amp;"' 활동에서 "&amp;$I4&amp;"을(를) 수행함."&amp;IF($J4&lt;&gt;""," "&amp;$J4&amp;"을(를) 보임.",""),""),IF($K4&lt;&gt;"","'"&amp;$K4&amp;"' 활동을 통해 "&amp;$L4&amp;"을(를) 수행함."&amp;IF($M4&lt;&gt;""," "&amp;$M4&amp;"을(를) 보임.",""),""),$N4))</f>
        <v/>
      </c>
      <c r="P4" s="9">
        <f>IF(O4="","",LEN(O4))</f>
        <v/>
      </c>
      <c r="Q4" s="9">
        <f>IF(O4="","-",IF(P4&gt;$B$1,"초과 (+"&amp;(P4-$B$1)&amp;"자)",IF(P4&lt;$B$1*0.5,"너무 짧음","적정")))</f>
        <v/>
      </c>
    </row>
    <row r="5" ht="18" customHeight="1">
      <c r="A5" s="9">
        <f>IF(B5="","",ROW()-3)</f>
        <v/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1">
        <f>IF($B5="","",_xlfn.TEXTJOIN(" ",TRUE,IF($E5&lt;&gt;"","'"&amp;$E5&amp;"' 활동에 참여하여 "&amp;$F5&amp;"을(를) 수행함."&amp;IF($G5&lt;&gt;""," "&amp;$G5&amp;"을(를) 보임.",""),""),IF($H5&lt;&gt;"","'"&amp;$H5&amp;"' 활동에서 "&amp;$I5&amp;"을(를) 수행함."&amp;IF($J5&lt;&gt;""," "&amp;$J5&amp;"을(를) 보임.",""),""),IF($K5&lt;&gt;"","'"&amp;$K5&amp;"' 활동을 통해 "&amp;$L5&amp;"을(를) 수행함."&amp;IF($M5&lt;&gt;""," "&amp;$M5&amp;"을(를) 보임.",""),""),$N5))</f>
        <v/>
      </c>
      <c r="P5" s="9">
        <f>IF(O5="","",LEN(O5))</f>
        <v/>
      </c>
      <c r="Q5" s="9">
        <f>IF(O5="","-",IF(P5&gt;$B$1,"초과 (+"&amp;(P5-$B$1)&amp;"자)",IF(P5&lt;$B$1*0.5,"너무 짧음","적정")))</f>
        <v/>
      </c>
    </row>
    <row r="6" ht="18" customHeight="1">
      <c r="A6" s="9">
        <f>IF(B6="","",ROW()-3)</f>
        <v/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1">
        <f>IF($B6="","",_xlfn.TEXTJOIN(" ",TRUE,IF($E6&lt;&gt;"","'"&amp;$E6&amp;"' 활동에 참여하여 "&amp;$F6&amp;"을(를) 수행함."&amp;IF($G6&lt;&gt;""," "&amp;$G6&amp;"을(를) 보임.",""),""),IF($H6&lt;&gt;"","'"&amp;$H6&amp;"' 활동에서 "&amp;$I6&amp;"을(를) 수행함."&amp;IF($J6&lt;&gt;""," "&amp;$J6&amp;"을(를) 보임.",""),""),IF($K6&lt;&gt;"","'"&amp;$K6&amp;"' 활동을 통해 "&amp;$L6&amp;"을(를) 수행함."&amp;IF($M6&lt;&gt;""," "&amp;$M6&amp;"을(를) 보임.",""),""),$N6))</f>
        <v/>
      </c>
      <c r="P6" s="9">
        <f>IF(O6="","",LEN(O6))</f>
        <v/>
      </c>
      <c r="Q6" s="9">
        <f>IF(O6="","-",IF(P6&gt;$B$1,"초과 (+"&amp;(P6-$B$1)&amp;"자)",IF(P6&lt;$B$1*0.5,"너무 짧음","적정")))</f>
        <v/>
      </c>
    </row>
    <row r="7" ht="18" customHeight="1">
      <c r="A7" s="9">
        <f>IF(B7="","",ROW()-3)</f>
        <v/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1">
        <f>IF($B7="","",_xlfn.TEXTJOIN(" ",TRUE,IF($E7&lt;&gt;"","'"&amp;$E7&amp;"' 활동에 참여하여 "&amp;$F7&amp;"을(를) 수행함."&amp;IF($G7&lt;&gt;""," "&amp;$G7&amp;"을(를) 보임.",""),""),IF($H7&lt;&gt;"","'"&amp;$H7&amp;"' 활동에서 "&amp;$I7&amp;"을(를) 수행함."&amp;IF($J7&lt;&gt;""," "&amp;$J7&amp;"을(를) 보임.",""),""),IF($K7&lt;&gt;"","'"&amp;$K7&amp;"' 활동을 통해 "&amp;$L7&amp;"을(를) 수행함."&amp;IF($M7&lt;&gt;""," "&amp;$M7&amp;"을(를) 보임.",""),""),$N7))</f>
        <v/>
      </c>
      <c r="P7" s="9">
        <f>IF(O7="","",LEN(O7))</f>
        <v/>
      </c>
      <c r="Q7" s="9">
        <f>IF(O7="","-",IF(P7&gt;$B$1,"초과 (+"&amp;(P7-$B$1)&amp;"자)",IF(P7&lt;$B$1*0.5,"너무 짧음","적정")))</f>
        <v/>
      </c>
    </row>
    <row r="8" ht="18" customHeight="1">
      <c r="A8" s="9">
        <f>IF(B8="","",ROW()-3)</f>
        <v/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1">
        <f>IF($B8="","",_xlfn.TEXTJOIN(" ",TRUE,IF($E8&lt;&gt;"","'"&amp;$E8&amp;"' 활동에 참여하여 "&amp;$F8&amp;"을(를) 수행함."&amp;IF($G8&lt;&gt;""," "&amp;$G8&amp;"을(를) 보임.",""),""),IF($H8&lt;&gt;"","'"&amp;$H8&amp;"' 활동에서 "&amp;$I8&amp;"을(를) 수행함."&amp;IF($J8&lt;&gt;""," "&amp;$J8&amp;"을(를) 보임.",""),""),IF($K8&lt;&gt;"","'"&amp;$K8&amp;"' 활동을 통해 "&amp;$L8&amp;"을(를) 수행함."&amp;IF($M8&lt;&gt;""," "&amp;$M8&amp;"을(를) 보임.",""),""),$N8))</f>
        <v/>
      </c>
      <c r="P8" s="9">
        <f>IF(O8="","",LEN(O8))</f>
        <v/>
      </c>
      <c r="Q8" s="9">
        <f>IF(O8="","-",IF(P8&gt;$B$1,"초과 (+"&amp;(P8-$B$1)&amp;"자)",IF(P8&lt;$B$1*0.5,"너무 짧음","적정")))</f>
        <v/>
      </c>
    </row>
    <row r="9" ht="18" customHeight="1">
      <c r="A9" s="9">
        <f>IF(B9="","",ROW()-3)</f>
        <v/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1">
        <f>IF($B9="","",_xlfn.TEXTJOIN(" ",TRUE,IF($E9&lt;&gt;"","'"&amp;$E9&amp;"' 활동에 참여하여 "&amp;$F9&amp;"을(를) 수행함."&amp;IF($G9&lt;&gt;""," "&amp;$G9&amp;"을(를) 보임.",""),""),IF($H9&lt;&gt;"","'"&amp;$H9&amp;"' 활동에서 "&amp;$I9&amp;"을(를) 수행함."&amp;IF($J9&lt;&gt;""," "&amp;$J9&amp;"을(를) 보임.",""),""),IF($K9&lt;&gt;"","'"&amp;$K9&amp;"' 활동을 통해 "&amp;$L9&amp;"을(를) 수행함."&amp;IF($M9&lt;&gt;""," "&amp;$M9&amp;"을(를) 보임.",""),""),$N9))</f>
        <v/>
      </c>
      <c r="P9" s="9">
        <f>IF(O9="","",LEN(O9))</f>
        <v/>
      </c>
      <c r="Q9" s="9">
        <f>IF(O9="","-",IF(P9&gt;$B$1,"초과 (+"&amp;(P9-$B$1)&amp;"자)",IF(P9&lt;$B$1*0.5,"너무 짧음","적정")))</f>
        <v/>
      </c>
    </row>
    <row r="10" ht="18" customHeight="1">
      <c r="A10" s="9">
        <f>IF(B10="","",ROW()-3)</f>
        <v/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1">
        <f>IF($B10="","",_xlfn.TEXTJOIN(" ",TRUE,IF($E10&lt;&gt;"","'"&amp;$E10&amp;"' 활동에 참여하여 "&amp;$F10&amp;"을(를) 수행함."&amp;IF($G10&lt;&gt;""," "&amp;$G10&amp;"을(를) 보임.",""),""),IF($H10&lt;&gt;"","'"&amp;$H10&amp;"' 활동에서 "&amp;$I10&amp;"을(를) 수행함."&amp;IF($J10&lt;&gt;""," "&amp;$J10&amp;"을(를) 보임.",""),""),IF($K10&lt;&gt;"","'"&amp;$K10&amp;"' 활동을 통해 "&amp;$L10&amp;"을(를) 수행함."&amp;IF($M10&lt;&gt;""," "&amp;$M10&amp;"을(를) 보임.",""),""),$N10))</f>
        <v/>
      </c>
      <c r="P10" s="9">
        <f>IF(O10="","",LEN(O10))</f>
        <v/>
      </c>
      <c r="Q10" s="9">
        <f>IF(O10="","-",IF(P10&gt;$B$1,"초과 (+"&amp;(P10-$B$1)&amp;"자)",IF(P10&lt;$B$1*0.5,"너무 짧음","적정")))</f>
        <v/>
      </c>
    </row>
    <row r="11" ht="18" customHeight="1">
      <c r="A11" s="9">
        <f>IF(B11="","",ROW()-3)</f>
        <v/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1">
        <f>IF($B11="","",_xlfn.TEXTJOIN(" ",TRUE,IF($E11&lt;&gt;"","'"&amp;$E11&amp;"' 활동에 참여하여 "&amp;$F11&amp;"을(를) 수행함."&amp;IF($G11&lt;&gt;""," "&amp;$G11&amp;"을(를) 보임.",""),""),IF($H11&lt;&gt;"","'"&amp;$H11&amp;"' 활동에서 "&amp;$I11&amp;"을(를) 수행함."&amp;IF($J11&lt;&gt;""," "&amp;$J11&amp;"을(를) 보임.",""),""),IF($K11&lt;&gt;"","'"&amp;$K11&amp;"' 활동을 통해 "&amp;$L11&amp;"을(를) 수행함."&amp;IF($M11&lt;&gt;""," "&amp;$M11&amp;"을(를) 보임.",""),""),$N11))</f>
        <v/>
      </c>
      <c r="P11" s="9">
        <f>IF(O11="","",LEN(O11))</f>
        <v/>
      </c>
      <c r="Q11" s="9">
        <f>IF(O11="","-",IF(P11&gt;$B$1,"초과 (+"&amp;(P11-$B$1)&amp;"자)",IF(P11&lt;$B$1*0.5,"너무 짧음","적정")))</f>
        <v/>
      </c>
    </row>
    <row r="12" ht="18" customHeight="1">
      <c r="A12" s="9">
        <f>IF(B12="","",ROW()-3)</f>
        <v/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1">
        <f>IF($B12="","",_xlfn.TEXTJOIN(" ",TRUE,IF($E12&lt;&gt;"","'"&amp;$E12&amp;"' 활동에 참여하여 "&amp;$F12&amp;"을(를) 수행함."&amp;IF($G12&lt;&gt;""," "&amp;$G12&amp;"을(를) 보임.",""),""),IF($H12&lt;&gt;"","'"&amp;$H12&amp;"' 활동에서 "&amp;$I12&amp;"을(를) 수행함."&amp;IF($J12&lt;&gt;""," "&amp;$J12&amp;"을(를) 보임.",""),""),IF($K12&lt;&gt;"","'"&amp;$K12&amp;"' 활동을 통해 "&amp;$L12&amp;"을(를) 수행함."&amp;IF($M12&lt;&gt;""," "&amp;$M12&amp;"을(를) 보임.",""),""),$N12))</f>
        <v/>
      </c>
      <c r="P12" s="9">
        <f>IF(O12="","",LEN(O12))</f>
        <v/>
      </c>
      <c r="Q12" s="9">
        <f>IF(O12="","-",IF(P12&gt;$B$1,"초과 (+"&amp;(P12-$B$1)&amp;"자)",IF(P12&lt;$B$1*0.5,"너무 짧음","적정")))</f>
        <v/>
      </c>
    </row>
    <row r="13" ht="18" customHeight="1">
      <c r="A13" s="9">
        <f>IF(B13="","",ROW()-3)</f>
        <v/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1">
        <f>IF($B13="","",_xlfn.TEXTJOIN(" ",TRUE,IF($E13&lt;&gt;"","'"&amp;$E13&amp;"' 활동에 참여하여 "&amp;$F13&amp;"을(를) 수행함."&amp;IF($G13&lt;&gt;""," "&amp;$G13&amp;"을(를) 보임.",""),""),IF($H13&lt;&gt;"","'"&amp;$H13&amp;"' 활동에서 "&amp;$I13&amp;"을(를) 수행함."&amp;IF($J13&lt;&gt;""," "&amp;$J13&amp;"을(를) 보임.",""),""),IF($K13&lt;&gt;"","'"&amp;$K13&amp;"' 활동을 통해 "&amp;$L13&amp;"을(를) 수행함."&amp;IF($M13&lt;&gt;""," "&amp;$M13&amp;"을(를) 보임.",""),""),$N13))</f>
        <v/>
      </c>
      <c r="P13" s="9">
        <f>IF(O13="","",LEN(O13))</f>
        <v/>
      </c>
      <c r="Q13" s="9">
        <f>IF(O13="","-",IF(P13&gt;$B$1,"초과 (+"&amp;(P13-$B$1)&amp;"자)",IF(P13&lt;$B$1*0.5,"너무 짧음","적정")))</f>
        <v/>
      </c>
    </row>
    <row r="14" ht="18" customHeight="1">
      <c r="A14" s="9">
        <f>IF(B14="","",ROW()-3)</f>
        <v/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1">
        <f>IF($B14="","",_xlfn.TEXTJOIN(" ",TRUE,IF($E14&lt;&gt;"","'"&amp;$E14&amp;"' 활동에 참여하여 "&amp;$F14&amp;"을(를) 수행함."&amp;IF($G14&lt;&gt;""," "&amp;$G14&amp;"을(를) 보임.",""),""),IF($H14&lt;&gt;"","'"&amp;$H14&amp;"' 활동에서 "&amp;$I14&amp;"을(를) 수행함."&amp;IF($J14&lt;&gt;""," "&amp;$J14&amp;"을(를) 보임.",""),""),IF($K14&lt;&gt;"","'"&amp;$K14&amp;"' 활동을 통해 "&amp;$L14&amp;"을(를) 수행함."&amp;IF($M14&lt;&gt;""," "&amp;$M14&amp;"을(를) 보임.",""),""),$N14))</f>
        <v/>
      </c>
      <c r="P14" s="9">
        <f>IF(O14="","",LEN(O14))</f>
        <v/>
      </c>
      <c r="Q14" s="9">
        <f>IF(O14="","-",IF(P14&gt;$B$1,"초과 (+"&amp;(P14-$B$1)&amp;"자)",IF(P14&lt;$B$1*0.5,"너무 짧음","적정")))</f>
        <v/>
      </c>
    </row>
    <row r="15" ht="18" customHeight="1">
      <c r="A15" s="9">
        <f>IF(B15="","",ROW()-3)</f>
        <v/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1">
        <f>IF($B15="","",_xlfn.TEXTJOIN(" ",TRUE,IF($E15&lt;&gt;"","'"&amp;$E15&amp;"' 활동에 참여하여 "&amp;$F15&amp;"을(를) 수행함."&amp;IF($G15&lt;&gt;""," "&amp;$G15&amp;"을(를) 보임.",""),""),IF($H15&lt;&gt;"","'"&amp;$H15&amp;"' 활동에서 "&amp;$I15&amp;"을(를) 수행함."&amp;IF($J15&lt;&gt;""," "&amp;$J15&amp;"을(를) 보임.",""),""),IF($K15&lt;&gt;"","'"&amp;$K15&amp;"' 활동을 통해 "&amp;$L15&amp;"을(를) 수행함."&amp;IF($M15&lt;&gt;""," "&amp;$M15&amp;"을(를) 보임.",""),""),$N15))</f>
        <v/>
      </c>
      <c r="P15" s="9">
        <f>IF(O15="","",LEN(O15))</f>
        <v/>
      </c>
      <c r="Q15" s="9">
        <f>IF(O15="","-",IF(P15&gt;$B$1,"초과 (+"&amp;(P15-$B$1)&amp;"자)",IF(P15&lt;$B$1*0.5,"너무 짧음","적정")))</f>
        <v/>
      </c>
    </row>
    <row r="16" ht="18" customHeight="1">
      <c r="A16" s="9">
        <f>IF(B16="","",ROW()-3)</f>
        <v/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1">
        <f>IF($B16="","",_xlfn.TEXTJOIN(" ",TRUE,IF($E16&lt;&gt;"","'"&amp;$E16&amp;"' 활동에 참여하여 "&amp;$F16&amp;"을(를) 수행함."&amp;IF($G16&lt;&gt;""," "&amp;$G16&amp;"을(를) 보임.",""),""),IF($H16&lt;&gt;"","'"&amp;$H16&amp;"' 활동에서 "&amp;$I16&amp;"을(를) 수행함."&amp;IF($J16&lt;&gt;""," "&amp;$J16&amp;"을(를) 보임.",""),""),IF($K16&lt;&gt;"","'"&amp;$K16&amp;"' 활동을 통해 "&amp;$L16&amp;"을(를) 수행함."&amp;IF($M16&lt;&gt;""," "&amp;$M16&amp;"을(를) 보임.",""),""),$N16))</f>
        <v/>
      </c>
      <c r="P16" s="9">
        <f>IF(O16="","",LEN(O16))</f>
        <v/>
      </c>
      <c r="Q16" s="9">
        <f>IF(O16="","-",IF(P16&gt;$B$1,"초과 (+"&amp;(P16-$B$1)&amp;"자)",IF(P16&lt;$B$1*0.5,"너무 짧음","적정")))</f>
        <v/>
      </c>
    </row>
    <row r="17" ht="18" customHeight="1">
      <c r="A17" s="9">
        <f>IF(B17="","",ROW()-3)</f>
        <v/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1">
        <f>IF($B17="","",_xlfn.TEXTJOIN(" ",TRUE,IF($E17&lt;&gt;"","'"&amp;$E17&amp;"' 활동에 참여하여 "&amp;$F17&amp;"을(를) 수행함."&amp;IF($G17&lt;&gt;""," "&amp;$G17&amp;"을(를) 보임.",""),""),IF($H17&lt;&gt;"","'"&amp;$H17&amp;"' 활동에서 "&amp;$I17&amp;"을(를) 수행함."&amp;IF($J17&lt;&gt;""," "&amp;$J17&amp;"을(를) 보임.",""),""),IF($K17&lt;&gt;"","'"&amp;$K17&amp;"' 활동을 통해 "&amp;$L17&amp;"을(를) 수행함."&amp;IF($M17&lt;&gt;""," "&amp;$M17&amp;"을(를) 보임.",""),""),$N17))</f>
        <v/>
      </c>
      <c r="P17" s="9">
        <f>IF(O17="","",LEN(O17))</f>
        <v/>
      </c>
      <c r="Q17" s="9">
        <f>IF(O17="","-",IF(P17&gt;$B$1,"초과 (+"&amp;(P17-$B$1)&amp;"자)",IF(P17&lt;$B$1*0.5,"너무 짧음","적정")))</f>
        <v/>
      </c>
    </row>
    <row r="18" ht="18" customHeight="1">
      <c r="A18" s="9">
        <f>IF(B18="","",ROW()-3)</f>
        <v/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1">
        <f>IF($B18="","",_xlfn.TEXTJOIN(" ",TRUE,IF($E18&lt;&gt;"","'"&amp;$E18&amp;"' 활동에 참여하여 "&amp;$F18&amp;"을(를) 수행함."&amp;IF($G18&lt;&gt;""," "&amp;$G18&amp;"을(를) 보임.",""),""),IF($H18&lt;&gt;"","'"&amp;$H18&amp;"' 활동에서 "&amp;$I18&amp;"을(를) 수행함."&amp;IF($J18&lt;&gt;""," "&amp;$J18&amp;"을(를) 보임.",""),""),IF($K18&lt;&gt;"","'"&amp;$K18&amp;"' 활동을 통해 "&amp;$L18&amp;"을(를) 수행함."&amp;IF($M18&lt;&gt;""," "&amp;$M18&amp;"을(를) 보임.",""),""),$N18))</f>
        <v/>
      </c>
      <c r="P18" s="9">
        <f>IF(O18="","",LEN(O18))</f>
        <v/>
      </c>
      <c r="Q18" s="9">
        <f>IF(O18="","-",IF(P18&gt;$B$1,"초과 (+"&amp;(P18-$B$1)&amp;"자)",IF(P18&lt;$B$1*0.5,"너무 짧음","적정")))</f>
        <v/>
      </c>
    </row>
    <row r="19" ht="18" customHeight="1">
      <c r="A19" s="9">
        <f>IF(B19="","",ROW()-3)</f>
        <v/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1">
        <f>IF($B19="","",_xlfn.TEXTJOIN(" ",TRUE,IF($E19&lt;&gt;"","'"&amp;$E19&amp;"' 활동에 참여하여 "&amp;$F19&amp;"을(를) 수행함."&amp;IF($G19&lt;&gt;""," "&amp;$G19&amp;"을(를) 보임.",""),""),IF($H19&lt;&gt;"","'"&amp;$H19&amp;"' 활동에서 "&amp;$I19&amp;"을(를) 수행함."&amp;IF($J19&lt;&gt;""," "&amp;$J19&amp;"을(를) 보임.",""),""),IF($K19&lt;&gt;"","'"&amp;$K19&amp;"' 활동을 통해 "&amp;$L19&amp;"을(를) 수행함."&amp;IF($M19&lt;&gt;""," "&amp;$M19&amp;"을(를) 보임.",""),""),$N19))</f>
        <v/>
      </c>
      <c r="P19" s="9">
        <f>IF(O19="","",LEN(O19))</f>
        <v/>
      </c>
      <c r="Q19" s="9">
        <f>IF(O19="","-",IF(P19&gt;$B$1,"초과 (+"&amp;(P19-$B$1)&amp;"자)",IF(P19&lt;$B$1*0.5,"너무 짧음","적정")))</f>
        <v/>
      </c>
    </row>
    <row r="20" ht="18" customHeight="1">
      <c r="A20" s="9">
        <f>IF(B20="","",ROW()-3)</f>
        <v/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1">
        <f>IF($B20="","",_xlfn.TEXTJOIN(" ",TRUE,IF($E20&lt;&gt;"","'"&amp;$E20&amp;"' 활동에 참여하여 "&amp;$F20&amp;"을(를) 수행함."&amp;IF($G20&lt;&gt;""," "&amp;$G20&amp;"을(를) 보임.",""),""),IF($H20&lt;&gt;"","'"&amp;$H20&amp;"' 활동에서 "&amp;$I20&amp;"을(를) 수행함."&amp;IF($J20&lt;&gt;""," "&amp;$J20&amp;"을(를) 보임.",""),""),IF($K20&lt;&gt;"","'"&amp;$K20&amp;"' 활동을 통해 "&amp;$L20&amp;"을(를) 수행함."&amp;IF($M20&lt;&gt;""," "&amp;$M20&amp;"을(를) 보임.",""),""),$N20))</f>
        <v/>
      </c>
      <c r="P20" s="9">
        <f>IF(O20="","",LEN(O20))</f>
        <v/>
      </c>
      <c r="Q20" s="9">
        <f>IF(O20="","-",IF(P20&gt;$B$1,"초과 (+"&amp;(P20-$B$1)&amp;"자)",IF(P20&lt;$B$1*0.5,"너무 짧음","적정")))</f>
        <v/>
      </c>
    </row>
    <row r="21" ht="18" customHeight="1">
      <c r="A21" s="9">
        <f>IF(B21="","",ROW()-3)</f>
        <v/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1">
        <f>IF($B21="","",_xlfn.TEXTJOIN(" ",TRUE,IF($E21&lt;&gt;"","'"&amp;$E21&amp;"' 활동에 참여하여 "&amp;$F21&amp;"을(를) 수행함."&amp;IF($G21&lt;&gt;""," "&amp;$G21&amp;"을(를) 보임.",""),""),IF($H21&lt;&gt;"","'"&amp;$H21&amp;"' 활동에서 "&amp;$I21&amp;"을(를) 수행함."&amp;IF($J21&lt;&gt;""," "&amp;$J21&amp;"을(를) 보임.",""),""),IF($K21&lt;&gt;"","'"&amp;$K21&amp;"' 활동을 통해 "&amp;$L21&amp;"을(를) 수행함."&amp;IF($M21&lt;&gt;""," "&amp;$M21&amp;"을(를) 보임.",""),""),$N21))</f>
        <v/>
      </c>
      <c r="P21" s="9">
        <f>IF(O21="","",LEN(O21))</f>
        <v/>
      </c>
      <c r="Q21" s="9">
        <f>IF(O21="","-",IF(P21&gt;$B$1,"초과 (+"&amp;(P21-$B$1)&amp;"자)",IF(P21&lt;$B$1*0.5,"너무 짧음","적정")))</f>
        <v/>
      </c>
    </row>
    <row r="22" ht="18" customHeight="1">
      <c r="A22" s="9">
        <f>IF(B22="","",ROW()-3)</f>
        <v/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1">
        <f>IF($B22="","",_xlfn.TEXTJOIN(" ",TRUE,IF($E22&lt;&gt;"","'"&amp;$E22&amp;"' 활동에 참여하여 "&amp;$F22&amp;"을(를) 수행함."&amp;IF($G22&lt;&gt;""," "&amp;$G22&amp;"을(를) 보임.",""),""),IF($H22&lt;&gt;"","'"&amp;$H22&amp;"' 활동에서 "&amp;$I22&amp;"을(를) 수행함."&amp;IF($J22&lt;&gt;""," "&amp;$J22&amp;"을(를) 보임.",""),""),IF($K22&lt;&gt;"","'"&amp;$K22&amp;"' 활동을 통해 "&amp;$L22&amp;"을(를) 수행함."&amp;IF($M22&lt;&gt;""," "&amp;$M22&amp;"을(를) 보임.",""),""),$N22))</f>
        <v/>
      </c>
      <c r="P22" s="9">
        <f>IF(O22="","",LEN(O22))</f>
        <v/>
      </c>
      <c r="Q22" s="9">
        <f>IF(O22="","-",IF(P22&gt;$B$1,"초과 (+"&amp;(P22-$B$1)&amp;"자)",IF(P22&lt;$B$1*0.5,"너무 짧음","적정")))</f>
        <v/>
      </c>
    </row>
    <row r="23" ht="18" customHeight="1">
      <c r="A23" s="9">
        <f>IF(B23="","",ROW()-3)</f>
        <v/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1">
        <f>IF($B23="","",_xlfn.TEXTJOIN(" ",TRUE,IF($E23&lt;&gt;"","'"&amp;$E23&amp;"' 활동에 참여하여 "&amp;$F23&amp;"을(를) 수행함."&amp;IF($G23&lt;&gt;""," "&amp;$G23&amp;"을(를) 보임.",""),""),IF($H23&lt;&gt;"","'"&amp;$H23&amp;"' 활동에서 "&amp;$I23&amp;"을(를) 수행함."&amp;IF($J23&lt;&gt;""," "&amp;$J23&amp;"을(를) 보임.",""),""),IF($K23&lt;&gt;"","'"&amp;$K23&amp;"' 활동을 통해 "&amp;$L23&amp;"을(를) 수행함."&amp;IF($M23&lt;&gt;""," "&amp;$M23&amp;"을(를) 보임.",""),""),$N23))</f>
        <v/>
      </c>
      <c r="P23" s="9">
        <f>IF(O23="","",LEN(O23))</f>
        <v/>
      </c>
      <c r="Q23" s="9">
        <f>IF(O23="","-",IF(P23&gt;$B$1,"초과 (+"&amp;(P23-$B$1)&amp;"자)",IF(P23&lt;$B$1*0.5,"너무 짧음","적정")))</f>
        <v/>
      </c>
    </row>
    <row r="24" ht="18" customHeight="1">
      <c r="A24" s="9">
        <f>IF(B24="","",ROW()-3)</f>
        <v/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1">
        <f>IF($B24="","",_xlfn.TEXTJOIN(" ",TRUE,IF($E24&lt;&gt;"","'"&amp;$E24&amp;"' 활동에 참여하여 "&amp;$F24&amp;"을(를) 수행함."&amp;IF($G24&lt;&gt;""," "&amp;$G24&amp;"을(를) 보임.",""),""),IF($H24&lt;&gt;"","'"&amp;$H24&amp;"' 활동에서 "&amp;$I24&amp;"을(를) 수행함."&amp;IF($J24&lt;&gt;""," "&amp;$J24&amp;"을(를) 보임.",""),""),IF($K24&lt;&gt;"","'"&amp;$K24&amp;"' 활동을 통해 "&amp;$L24&amp;"을(를) 수행함."&amp;IF($M24&lt;&gt;""," "&amp;$M24&amp;"을(를) 보임.",""),""),$N24))</f>
        <v/>
      </c>
      <c r="P24" s="9">
        <f>IF(O24="","",LEN(O24))</f>
        <v/>
      </c>
      <c r="Q24" s="9">
        <f>IF(O24="","-",IF(P24&gt;$B$1,"초과 (+"&amp;(P24-$B$1)&amp;"자)",IF(P24&lt;$B$1*0.5,"너무 짧음","적정")))</f>
        <v/>
      </c>
    </row>
    <row r="25" ht="18" customHeight="1">
      <c r="A25" s="9">
        <f>IF(B25="","",ROW()-3)</f>
        <v/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1">
        <f>IF($B25="","",_xlfn.TEXTJOIN(" ",TRUE,IF($E25&lt;&gt;"","'"&amp;$E25&amp;"' 활동에 참여하여 "&amp;$F25&amp;"을(를) 수행함."&amp;IF($G25&lt;&gt;""," "&amp;$G25&amp;"을(를) 보임.",""),""),IF($H25&lt;&gt;"","'"&amp;$H25&amp;"' 활동에서 "&amp;$I25&amp;"을(를) 수행함."&amp;IF($J25&lt;&gt;""," "&amp;$J25&amp;"을(를) 보임.",""),""),IF($K25&lt;&gt;"","'"&amp;$K25&amp;"' 활동을 통해 "&amp;$L25&amp;"을(를) 수행함."&amp;IF($M25&lt;&gt;""," "&amp;$M25&amp;"을(를) 보임.",""),""),$N25))</f>
        <v/>
      </c>
      <c r="P25" s="9">
        <f>IF(O25="","",LEN(O25))</f>
        <v/>
      </c>
      <c r="Q25" s="9">
        <f>IF(O25="","-",IF(P25&gt;$B$1,"초과 (+"&amp;(P25-$B$1)&amp;"자)",IF(P25&lt;$B$1*0.5,"너무 짧음","적정")))</f>
        <v/>
      </c>
    </row>
    <row r="26" ht="18" customHeight="1">
      <c r="A26" s="9">
        <f>IF(B26="","",ROW()-3)</f>
        <v/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1">
        <f>IF($B26="","",_xlfn.TEXTJOIN(" ",TRUE,IF($E26&lt;&gt;"","'"&amp;$E26&amp;"' 활동에 참여하여 "&amp;$F26&amp;"을(를) 수행함."&amp;IF($G26&lt;&gt;""," "&amp;$G26&amp;"을(를) 보임.",""),""),IF($H26&lt;&gt;"","'"&amp;$H26&amp;"' 활동에서 "&amp;$I26&amp;"을(를) 수행함."&amp;IF($J26&lt;&gt;""," "&amp;$J26&amp;"을(를) 보임.",""),""),IF($K26&lt;&gt;"","'"&amp;$K26&amp;"' 활동을 통해 "&amp;$L26&amp;"을(를) 수행함."&amp;IF($M26&lt;&gt;""," "&amp;$M26&amp;"을(를) 보임.",""),""),$N26))</f>
        <v/>
      </c>
      <c r="P26" s="9">
        <f>IF(O26="","",LEN(O26))</f>
        <v/>
      </c>
      <c r="Q26" s="9">
        <f>IF(O26="","-",IF(P26&gt;$B$1,"초과 (+"&amp;(P26-$B$1)&amp;"자)",IF(P26&lt;$B$1*0.5,"너무 짧음","적정")))</f>
        <v/>
      </c>
    </row>
    <row r="27" ht="18" customHeight="1">
      <c r="A27" s="9">
        <f>IF(B27="","",ROW()-3)</f>
        <v/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1">
        <f>IF($B27="","",_xlfn.TEXTJOIN(" ",TRUE,IF($E27&lt;&gt;"","'"&amp;$E27&amp;"' 활동에 참여하여 "&amp;$F27&amp;"을(를) 수행함."&amp;IF($G27&lt;&gt;""," "&amp;$G27&amp;"을(를) 보임.",""),""),IF($H27&lt;&gt;"","'"&amp;$H27&amp;"' 활동에서 "&amp;$I27&amp;"을(를) 수행함."&amp;IF($J27&lt;&gt;""," "&amp;$J27&amp;"을(를) 보임.",""),""),IF($K27&lt;&gt;"","'"&amp;$K27&amp;"' 활동을 통해 "&amp;$L27&amp;"을(를) 수행함."&amp;IF($M27&lt;&gt;""," "&amp;$M27&amp;"을(를) 보임.",""),""),$N27))</f>
        <v/>
      </c>
      <c r="P27" s="9">
        <f>IF(O27="","",LEN(O27))</f>
        <v/>
      </c>
      <c r="Q27" s="9">
        <f>IF(O27="","-",IF(P27&gt;$B$1,"초과 (+"&amp;(P27-$B$1)&amp;"자)",IF(P27&lt;$B$1*0.5,"너무 짧음","적정")))</f>
        <v/>
      </c>
    </row>
    <row r="28" ht="18" customHeight="1">
      <c r="A28" s="9">
        <f>IF(B28="","",ROW()-3)</f>
        <v/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1">
        <f>IF($B28="","",_xlfn.TEXTJOIN(" ",TRUE,IF($E28&lt;&gt;"","'"&amp;$E28&amp;"' 활동에 참여하여 "&amp;$F28&amp;"을(를) 수행함."&amp;IF($G28&lt;&gt;""," "&amp;$G28&amp;"을(를) 보임.",""),""),IF($H28&lt;&gt;"","'"&amp;$H28&amp;"' 활동에서 "&amp;$I28&amp;"을(를) 수행함."&amp;IF($J28&lt;&gt;""," "&amp;$J28&amp;"을(를) 보임.",""),""),IF($K28&lt;&gt;"","'"&amp;$K28&amp;"' 활동을 통해 "&amp;$L28&amp;"을(를) 수행함."&amp;IF($M28&lt;&gt;""," "&amp;$M28&amp;"을(를) 보임.",""),""),$N28))</f>
        <v/>
      </c>
      <c r="P28" s="9">
        <f>IF(O28="","",LEN(O28))</f>
        <v/>
      </c>
      <c r="Q28" s="9">
        <f>IF(O28="","-",IF(P28&gt;$B$1,"초과 (+"&amp;(P28-$B$1)&amp;"자)",IF(P28&lt;$B$1*0.5,"너무 짧음","적정")))</f>
        <v/>
      </c>
    </row>
    <row r="29" ht="18" customHeight="1">
      <c r="A29" s="9">
        <f>IF(B29="","",ROW()-3)</f>
        <v/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1">
        <f>IF($B29="","",_xlfn.TEXTJOIN(" ",TRUE,IF($E29&lt;&gt;"","'"&amp;$E29&amp;"' 활동에 참여하여 "&amp;$F29&amp;"을(를) 수행함."&amp;IF($G29&lt;&gt;""," "&amp;$G29&amp;"을(를) 보임.",""),""),IF($H29&lt;&gt;"","'"&amp;$H29&amp;"' 활동에서 "&amp;$I29&amp;"을(를) 수행함."&amp;IF($J29&lt;&gt;""," "&amp;$J29&amp;"을(를) 보임.",""),""),IF($K29&lt;&gt;"","'"&amp;$K29&amp;"' 활동을 통해 "&amp;$L29&amp;"을(를) 수행함."&amp;IF($M29&lt;&gt;""," "&amp;$M29&amp;"을(를) 보임.",""),""),$N29))</f>
        <v/>
      </c>
      <c r="P29" s="9">
        <f>IF(O29="","",LEN(O29))</f>
        <v/>
      </c>
      <c r="Q29" s="9">
        <f>IF(O29="","-",IF(P29&gt;$B$1,"초과 (+"&amp;(P29-$B$1)&amp;"자)",IF(P29&lt;$B$1*0.5,"너무 짧음","적정")))</f>
        <v/>
      </c>
    </row>
    <row r="30" ht="18" customHeight="1">
      <c r="A30" s="9">
        <f>IF(B30="","",ROW()-3)</f>
        <v/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1">
        <f>IF($B30="","",_xlfn.TEXTJOIN(" ",TRUE,IF($E30&lt;&gt;"","'"&amp;$E30&amp;"' 활동에 참여하여 "&amp;$F30&amp;"을(를) 수행함."&amp;IF($G30&lt;&gt;""," "&amp;$G30&amp;"을(를) 보임.",""),""),IF($H30&lt;&gt;"","'"&amp;$H30&amp;"' 활동에서 "&amp;$I30&amp;"을(를) 수행함."&amp;IF($J30&lt;&gt;""," "&amp;$J30&amp;"을(를) 보임.",""),""),IF($K30&lt;&gt;"","'"&amp;$K30&amp;"' 활동을 통해 "&amp;$L30&amp;"을(를) 수행함."&amp;IF($M30&lt;&gt;""," "&amp;$M30&amp;"을(를) 보임.",""),""),$N30))</f>
        <v/>
      </c>
      <c r="P30" s="9">
        <f>IF(O30="","",LEN(O30))</f>
        <v/>
      </c>
      <c r="Q30" s="9">
        <f>IF(O30="","-",IF(P30&gt;$B$1,"초과 (+"&amp;(P30-$B$1)&amp;"자)",IF(P30&lt;$B$1*0.5,"너무 짧음","적정")))</f>
        <v/>
      </c>
    </row>
    <row r="31" ht="18" customHeight="1">
      <c r="A31" s="9">
        <f>IF(B31="","",ROW()-3)</f>
        <v/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1">
        <f>IF($B31="","",_xlfn.TEXTJOIN(" ",TRUE,IF($E31&lt;&gt;"","'"&amp;$E31&amp;"' 활동에 참여하여 "&amp;$F31&amp;"을(를) 수행함."&amp;IF($G31&lt;&gt;""," "&amp;$G31&amp;"을(를) 보임.",""),""),IF($H31&lt;&gt;"","'"&amp;$H31&amp;"' 활동에서 "&amp;$I31&amp;"을(를) 수행함."&amp;IF($J31&lt;&gt;""," "&amp;$J31&amp;"을(를) 보임.",""),""),IF($K31&lt;&gt;"","'"&amp;$K31&amp;"' 활동을 통해 "&amp;$L31&amp;"을(를) 수행함."&amp;IF($M31&lt;&gt;""," "&amp;$M31&amp;"을(를) 보임.",""),""),$N31))</f>
        <v/>
      </c>
      <c r="P31" s="9">
        <f>IF(O31="","",LEN(O31))</f>
        <v/>
      </c>
      <c r="Q31" s="9">
        <f>IF(O31="","-",IF(P31&gt;$B$1,"초과 (+"&amp;(P31-$B$1)&amp;"자)",IF(P31&lt;$B$1*0.5,"너무 짧음","적정")))</f>
        <v/>
      </c>
    </row>
    <row r="32" ht="18" customHeight="1">
      <c r="A32" s="9">
        <f>IF(B32="","",ROW()-3)</f>
        <v/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1">
        <f>IF($B32="","",_xlfn.TEXTJOIN(" ",TRUE,IF($E32&lt;&gt;"","'"&amp;$E32&amp;"' 활동에 참여하여 "&amp;$F32&amp;"을(를) 수행함."&amp;IF($G32&lt;&gt;""," "&amp;$G32&amp;"을(를) 보임.",""),""),IF($H32&lt;&gt;"","'"&amp;$H32&amp;"' 활동에서 "&amp;$I32&amp;"을(를) 수행함."&amp;IF($J32&lt;&gt;""," "&amp;$J32&amp;"을(를) 보임.",""),""),IF($K32&lt;&gt;"","'"&amp;$K32&amp;"' 활동을 통해 "&amp;$L32&amp;"을(를) 수행함."&amp;IF($M32&lt;&gt;""," "&amp;$M32&amp;"을(를) 보임.",""),""),$N32))</f>
        <v/>
      </c>
      <c r="P32" s="9">
        <f>IF(O32="","",LEN(O32))</f>
        <v/>
      </c>
      <c r="Q32" s="9">
        <f>IF(O32="","-",IF(P32&gt;$B$1,"초과 (+"&amp;(P32-$B$1)&amp;"자)",IF(P32&lt;$B$1*0.5,"너무 짧음","적정")))</f>
        <v/>
      </c>
    </row>
    <row r="33" ht="18" customHeight="1">
      <c r="A33" s="9">
        <f>IF(B33="","",ROW()-3)</f>
        <v/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1">
        <f>IF($B33="","",_xlfn.TEXTJOIN(" ",TRUE,IF($E33&lt;&gt;"","'"&amp;$E33&amp;"' 활동에 참여하여 "&amp;$F33&amp;"을(를) 수행함."&amp;IF($G33&lt;&gt;""," "&amp;$G33&amp;"을(를) 보임.",""),""),IF($H33&lt;&gt;"","'"&amp;$H33&amp;"' 활동에서 "&amp;$I33&amp;"을(를) 수행함."&amp;IF($J33&lt;&gt;""," "&amp;$J33&amp;"을(를) 보임.",""),""),IF($K33&lt;&gt;"","'"&amp;$K33&amp;"' 활동을 통해 "&amp;$L33&amp;"을(를) 수행함."&amp;IF($M33&lt;&gt;""," "&amp;$M33&amp;"을(를) 보임.",""),""),$N33))</f>
        <v/>
      </c>
      <c r="P33" s="9">
        <f>IF(O33="","",LEN(O33))</f>
        <v/>
      </c>
      <c r="Q33" s="9">
        <f>IF(O33="","-",IF(P33&gt;$B$1,"초과 (+"&amp;(P33-$B$1)&amp;"자)",IF(P33&lt;$B$1*0.5,"너무 짧음","적정")))</f>
        <v/>
      </c>
    </row>
    <row r="34" ht="18" customHeight="1">
      <c r="A34" s="9">
        <f>IF(B34="","",ROW()-3)</f>
        <v/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1">
        <f>IF($B34="","",_xlfn.TEXTJOIN(" ",TRUE,IF($E34&lt;&gt;"","'"&amp;$E34&amp;"' 활동에 참여하여 "&amp;$F34&amp;"을(를) 수행함."&amp;IF($G34&lt;&gt;""," "&amp;$G34&amp;"을(를) 보임.",""),""),IF($H34&lt;&gt;"","'"&amp;$H34&amp;"' 활동에서 "&amp;$I34&amp;"을(를) 수행함."&amp;IF($J34&lt;&gt;""," "&amp;$J34&amp;"을(를) 보임.",""),""),IF($K34&lt;&gt;"","'"&amp;$K34&amp;"' 활동을 통해 "&amp;$L34&amp;"을(를) 수행함."&amp;IF($M34&lt;&gt;""," "&amp;$M34&amp;"을(를) 보임.",""),""),$N34))</f>
        <v/>
      </c>
      <c r="P34" s="9">
        <f>IF(O34="","",LEN(O34))</f>
        <v/>
      </c>
      <c r="Q34" s="9">
        <f>IF(O34="","-",IF(P34&gt;$B$1,"초과 (+"&amp;(P34-$B$1)&amp;"자)",IF(P34&lt;$B$1*0.5,"너무 짧음","적정")))</f>
        <v/>
      </c>
    </row>
    <row r="35" ht="18" customHeight="1">
      <c r="A35" s="9">
        <f>IF(B35="","",ROW()-3)</f>
        <v/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1">
        <f>IF($B35="","",_xlfn.TEXTJOIN(" ",TRUE,IF($E35&lt;&gt;"","'"&amp;$E35&amp;"' 활동에 참여하여 "&amp;$F35&amp;"을(를) 수행함."&amp;IF($G35&lt;&gt;""," "&amp;$G35&amp;"을(를) 보임.",""),""),IF($H35&lt;&gt;"","'"&amp;$H35&amp;"' 활동에서 "&amp;$I35&amp;"을(를) 수행함."&amp;IF($J35&lt;&gt;""," "&amp;$J35&amp;"을(를) 보임.",""),""),IF($K35&lt;&gt;"","'"&amp;$K35&amp;"' 활동을 통해 "&amp;$L35&amp;"을(를) 수행함."&amp;IF($M35&lt;&gt;""," "&amp;$M35&amp;"을(를) 보임.",""),""),$N35))</f>
        <v/>
      </c>
      <c r="P35" s="9">
        <f>IF(O35="","",LEN(O35))</f>
        <v/>
      </c>
      <c r="Q35" s="9">
        <f>IF(O35="","-",IF(P35&gt;$B$1,"초과 (+"&amp;(P35-$B$1)&amp;"자)",IF(P35&lt;$B$1*0.5,"너무 짧음","적정")))</f>
        <v/>
      </c>
    </row>
    <row r="36" ht="18" customHeight="1">
      <c r="A36" s="9">
        <f>IF(B36="","",ROW()-3)</f>
        <v/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1">
        <f>IF($B36="","",_xlfn.TEXTJOIN(" ",TRUE,IF($E36&lt;&gt;"","'"&amp;$E36&amp;"' 활동에 참여하여 "&amp;$F36&amp;"을(를) 수행함."&amp;IF($G36&lt;&gt;""," "&amp;$G36&amp;"을(를) 보임.",""),""),IF($H36&lt;&gt;"","'"&amp;$H36&amp;"' 활동에서 "&amp;$I36&amp;"을(를) 수행함."&amp;IF($J36&lt;&gt;""," "&amp;$J36&amp;"을(를) 보임.",""),""),IF($K36&lt;&gt;"","'"&amp;$K36&amp;"' 활동을 통해 "&amp;$L36&amp;"을(를) 수행함."&amp;IF($M36&lt;&gt;""," "&amp;$M36&amp;"을(를) 보임.",""),""),$N36))</f>
        <v/>
      </c>
      <c r="P36" s="9">
        <f>IF(O36="","",LEN(O36))</f>
        <v/>
      </c>
      <c r="Q36" s="9">
        <f>IF(O36="","-",IF(P36&gt;$B$1,"초과 (+"&amp;(P36-$B$1)&amp;"자)",IF(P36&lt;$B$1*0.5,"너무 짧음","적정")))</f>
        <v/>
      </c>
    </row>
    <row r="37" ht="18" customHeight="1">
      <c r="A37" s="9">
        <f>IF(B37="","",ROW()-3)</f>
        <v/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1">
        <f>IF($B37="","",_xlfn.TEXTJOIN(" ",TRUE,IF($E37&lt;&gt;"","'"&amp;$E37&amp;"' 활동에 참여하여 "&amp;$F37&amp;"을(를) 수행함."&amp;IF($G37&lt;&gt;""," "&amp;$G37&amp;"을(를) 보임.",""),""),IF($H37&lt;&gt;"","'"&amp;$H37&amp;"' 활동에서 "&amp;$I37&amp;"을(를) 수행함."&amp;IF($J37&lt;&gt;""," "&amp;$J37&amp;"을(를) 보임.",""),""),IF($K37&lt;&gt;"","'"&amp;$K37&amp;"' 활동을 통해 "&amp;$L37&amp;"을(를) 수행함."&amp;IF($M37&lt;&gt;""," "&amp;$M37&amp;"을(를) 보임.",""),""),$N37))</f>
        <v/>
      </c>
      <c r="P37" s="9">
        <f>IF(O37="","",LEN(O37))</f>
        <v/>
      </c>
      <c r="Q37" s="9">
        <f>IF(O37="","-",IF(P37&gt;$B$1,"초과 (+"&amp;(P37-$B$1)&amp;"자)",IF(P37&lt;$B$1*0.5,"너무 짧음","적정")))</f>
        <v/>
      </c>
    </row>
    <row r="38" ht="18" customHeight="1">
      <c r="A38" s="9">
        <f>IF(B38="","",ROW()-3)</f>
        <v/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1">
        <f>IF($B38="","",_xlfn.TEXTJOIN(" ",TRUE,IF($E38&lt;&gt;"","'"&amp;$E38&amp;"' 활동에 참여하여 "&amp;$F38&amp;"을(를) 수행함."&amp;IF($G38&lt;&gt;""," "&amp;$G38&amp;"을(를) 보임.",""),""),IF($H38&lt;&gt;"","'"&amp;$H38&amp;"' 활동에서 "&amp;$I38&amp;"을(를) 수행함."&amp;IF($J38&lt;&gt;""," "&amp;$J38&amp;"을(를) 보임.",""),""),IF($K38&lt;&gt;"","'"&amp;$K38&amp;"' 활동을 통해 "&amp;$L38&amp;"을(를) 수행함."&amp;IF($M38&lt;&gt;""," "&amp;$M38&amp;"을(를) 보임.",""),""),$N38))</f>
        <v/>
      </c>
      <c r="P38" s="9">
        <f>IF(O38="","",LEN(O38))</f>
        <v/>
      </c>
      <c r="Q38" s="9">
        <f>IF(O38="","-",IF(P38&gt;$B$1,"초과 (+"&amp;(P38-$B$1)&amp;"자)",IF(P38&lt;$B$1*0.5,"너무 짧음","적정")))</f>
        <v/>
      </c>
    </row>
    <row r="39" ht="18" customHeight="1">
      <c r="A39" s="9">
        <f>IF(B39="","",ROW()-3)</f>
        <v/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1">
        <f>IF($B39="","",_xlfn.TEXTJOIN(" ",TRUE,IF($E39&lt;&gt;"","'"&amp;$E39&amp;"' 활동에 참여하여 "&amp;$F39&amp;"을(를) 수행함."&amp;IF($G39&lt;&gt;""," "&amp;$G39&amp;"을(를) 보임.",""),""),IF($H39&lt;&gt;"","'"&amp;$H39&amp;"' 활동에서 "&amp;$I39&amp;"을(를) 수행함."&amp;IF($J39&lt;&gt;""," "&amp;$J39&amp;"을(를) 보임.",""),""),IF($K39&lt;&gt;"","'"&amp;$K39&amp;"' 활동을 통해 "&amp;$L39&amp;"을(를) 수행함."&amp;IF($M39&lt;&gt;""," "&amp;$M39&amp;"을(를) 보임.",""),""),$N39))</f>
        <v/>
      </c>
      <c r="P39" s="9">
        <f>IF(O39="","",LEN(O39))</f>
        <v/>
      </c>
      <c r="Q39" s="9">
        <f>IF(O39="","-",IF(P39&gt;$B$1,"초과 (+"&amp;(P39-$B$1)&amp;"자)",IF(P39&lt;$B$1*0.5,"너무 짧음","적정")))</f>
        <v/>
      </c>
    </row>
    <row r="40" ht="18" customHeight="1">
      <c r="A40" s="9">
        <f>IF(B40="","",ROW()-3)</f>
        <v/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1">
        <f>IF($B40="","",_xlfn.TEXTJOIN(" ",TRUE,IF($E40&lt;&gt;"","'"&amp;$E40&amp;"' 활동에 참여하여 "&amp;$F40&amp;"을(를) 수행함."&amp;IF($G40&lt;&gt;""," "&amp;$G40&amp;"을(를) 보임.",""),""),IF($H40&lt;&gt;"","'"&amp;$H40&amp;"' 활동에서 "&amp;$I40&amp;"을(를) 수행함."&amp;IF($J40&lt;&gt;""," "&amp;$J40&amp;"을(를) 보임.",""),""),IF($K40&lt;&gt;"","'"&amp;$K40&amp;"' 활동을 통해 "&amp;$L40&amp;"을(를) 수행함."&amp;IF($M40&lt;&gt;""," "&amp;$M40&amp;"을(를) 보임.",""),""),$N40))</f>
        <v/>
      </c>
      <c r="P40" s="9">
        <f>IF(O40="","",LEN(O40))</f>
        <v/>
      </c>
      <c r="Q40" s="9">
        <f>IF(O40="","-",IF(P40&gt;$B$1,"초과 (+"&amp;(P40-$B$1)&amp;"자)",IF(P40&lt;$B$1*0.5,"너무 짧음","적정")))</f>
        <v/>
      </c>
    </row>
    <row r="41" ht="18" customHeight="1">
      <c r="A41" s="9">
        <f>IF(B41="","",ROW()-3)</f>
        <v/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1">
        <f>IF($B41="","",_xlfn.TEXTJOIN(" ",TRUE,IF($E41&lt;&gt;"","'"&amp;$E41&amp;"' 활동에 참여하여 "&amp;$F41&amp;"을(를) 수행함."&amp;IF($G41&lt;&gt;""," "&amp;$G41&amp;"을(를) 보임.",""),""),IF($H41&lt;&gt;"","'"&amp;$H41&amp;"' 활동에서 "&amp;$I41&amp;"을(를) 수행함."&amp;IF($J41&lt;&gt;""," "&amp;$J41&amp;"을(를) 보임.",""),""),IF($K41&lt;&gt;"","'"&amp;$K41&amp;"' 활동을 통해 "&amp;$L41&amp;"을(를) 수행함."&amp;IF($M41&lt;&gt;""," "&amp;$M41&amp;"을(를) 보임.",""),""),$N41))</f>
        <v/>
      </c>
      <c r="P41" s="9">
        <f>IF(O41="","",LEN(O41))</f>
        <v/>
      </c>
      <c r="Q41" s="9">
        <f>IF(O41="","-",IF(P41&gt;$B$1,"초과 (+"&amp;(P41-$B$1)&amp;"자)",IF(P41&lt;$B$1*0.5,"너무 짧음","적정")))</f>
        <v/>
      </c>
    </row>
    <row r="42" ht="18" customHeight="1">
      <c r="A42" s="9">
        <f>IF(B42="","",ROW()-3)</f>
        <v/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1">
        <f>IF($B42="","",_xlfn.TEXTJOIN(" ",TRUE,IF($E42&lt;&gt;"","'"&amp;$E42&amp;"' 활동에 참여하여 "&amp;$F42&amp;"을(를) 수행함."&amp;IF($G42&lt;&gt;""," "&amp;$G42&amp;"을(를) 보임.",""),""),IF($H42&lt;&gt;"","'"&amp;$H42&amp;"' 활동에서 "&amp;$I42&amp;"을(를) 수행함."&amp;IF($J42&lt;&gt;""," "&amp;$J42&amp;"을(를) 보임.",""),""),IF($K42&lt;&gt;"","'"&amp;$K42&amp;"' 활동을 통해 "&amp;$L42&amp;"을(를) 수행함."&amp;IF($M42&lt;&gt;""," "&amp;$M42&amp;"을(를) 보임.",""),""),$N42))</f>
        <v/>
      </c>
      <c r="P42" s="9">
        <f>IF(O42="","",LEN(O42))</f>
        <v/>
      </c>
      <c r="Q42" s="9">
        <f>IF(O42="","-",IF(P42&gt;$B$1,"초과 (+"&amp;(P42-$B$1)&amp;"자)",IF(P42&lt;$B$1*0.5,"너무 짧음","적정")))</f>
        <v/>
      </c>
    </row>
    <row r="43" ht="18" customHeight="1">
      <c r="A43" s="9">
        <f>IF(B43="","",ROW()-3)</f>
        <v/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1">
        <f>IF($B43="","",_xlfn.TEXTJOIN(" ",TRUE,IF($E43&lt;&gt;"","'"&amp;$E43&amp;"' 활동에 참여하여 "&amp;$F43&amp;"을(를) 수행함."&amp;IF($G43&lt;&gt;""," "&amp;$G43&amp;"을(를) 보임.",""),""),IF($H43&lt;&gt;"","'"&amp;$H43&amp;"' 활동에서 "&amp;$I43&amp;"을(를) 수행함."&amp;IF($J43&lt;&gt;""," "&amp;$J43&amp;"을(를) 보임.",""),""),IF($K43&lt;&gt;"","'"&amp;$K43&amp;"' 활동을 통해 "&amp;$L43&amp;"을(를) 수행함."&amp;IF($M43&lt;&gt;""," "&amp;$M43&amp;"을(를) 보임.",""),""),$N43))</f>
        <v/>
      </c>
      <c r="P43" s="9">
        <f>IF(O43="","",LEN(O43))</f>
        <v/>
      </c>
      <c r="Q43" s="9">
        <f>IF(O43="","-",IF(P43&gt;$B$1,"초과 (+"&amp;(P43-$B$1)&amp;"자)",IF(P43&lt;$B$1*0.5,"너무 짧음","적정")))</f>
        <v/>
      </c>
    </row>
    <row r="44" ht="18" customHeight="1">
      <c r="A44" s="9">
        <f>IF(B44="","",ROW()-3)</f>
        <v/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1">
        <f>IF($B44="","",_xlfn.TEXTJOIN(" ",TRUE,IF($E44&lt;&gt;"","'"&amp;$E44&amp;"' 활동에 참여하여 "&amp;$F44&amp;"을(를) 수행함."&amp;IF($G44&lt;&gt;""," "&amp;$G44&amp;"을(를) 보임.",""),""),IF($H44&lt;&gt;"","'"&amp;$H44&amp;"' 활동에서 "&amp;$I44&amp;"을(를) 수행함."&amp;IF($J44&lt;&gt;""," "&amp;$J44&amp;"을(를) 보임.",""),""),IF($K44&lt;&gt;"","'"&amp;$K44&amp;"' 활동을 통해 "&amp;$L44&amp;"을(를) 수행함."&amp;IF($M44&lt;&gt;""," "&amp;$M44&amp;"을(를) 보임.",""),""),$N44))</f>
        <v/>
      </c>
      <c r="P44" s="9">
        <f>IF(O44="","",LEN(O44))</f>
        <v/>
      </c>
      <c r="Q44" s="9">
        <f>IF(O44="","-",IF(P44&gt;$B$1,"초과 (+"&amp;(P44-$B$1)&amp;"자)",IF(P44&lt;$B$1*0.5,"너무 짧음","적정")))</f>
        <v/>
      </c>
    </row>
    <row r="45" ht="18" customHeight="1">
      <c r="A45" s="9">
        <f>IF(B45="","",ROW()-3)</f>
        <v/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1">
        <f>IF($B45="","",_xlfn.TEXTJOIN(" ",TRUE,IF($E45&lt;&gt;"","'"&amp;$E45&amp;"' 활동에 참여하여 "&amp;$F45&amp;"을(를) 수행함."&amp;IF($G45&lt;&gt;""," "&amp;$G45&amp;"을(를) 보임.",""),""),IF($H45&lt;&gt;"","'"&amp;$H45&amp;"' 활동에서 "&amp;$I45&amp;"을(를) 수행함."&amp;IF($J45&lt;&gt;""," "&amp;$J45&amp;"을(를) 보임.",""),""),IF($K45&lt;&gt;"","'"&amp;$K45&amp;"' 활동을 통해 "&amp;$L45&amp;"을(를) 수행함."&amp;IF($M45&lt;&gt;""," "&amp;$M45&amp;"을(를) 보임.",""),""),$N45))</f>
        <v/>
      </c>
      <c r="P45" s="9">
        <f>IF(O45="","",LEN(O45))</f>
        <v/>
      </c>
      <c r="Q45" s="9">
        <f>IF(O45="","-",IF(P45&gt;$B$1,"초과 (+"&amp;(P45-$B$1)&amp;"자)",IF(P45&lt;$B$1*0.5,"너무 짧음","적정")))</f>
        <v/>
      </c>
    </row>
    <row r="46" ht="18" customHeight="1">
      <c r="A46" s="9">
        <f>IF(B46="","",ROW()-3)</f>
        <v/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1">
        <f>IF($B46="","",_xlfn.TEXTJOIN(" ",TRUE,IF($E46&lt;&gt;"","'"&amp;$E46&amp;"' 활동에 참여하여 "&amp;$F46&amp;"을(를) 수행함."&amp;IF($G46&lt;&gt;""," "&amp;$G46&amp;"을(를) 보임.",""),""),IF($H46&lt;&gt;"","'"&amp;$H46&amp;"' 활동에서 "&amp;$I46&amp;"을(를) 수행함."&amp;IF($J46&lt;&gt;""," "&amp;$J46&amp;"을(를) 보임.",""),""),IF($K46&lt;&gt;"","'"&amp;$K46&amp;"' 활동을 통해 "&amp;$L46&amp;"을(를) 수행함."&amp;IF($M46&lt;&gt;""," "&amp;$M46&amp;"을(를) 보임.",""),""),$N46))</f>
        <v/>
      </c>
      <c r="P46" s="9">
        <f>IF(O46="","",LEN(O46))</f>
        <v/>
      </c>
      <c r="Q46" s="9">
        <f>IF(O46="","-",IF(P46&gt;$B$1,"초과 (+"&amp;(P46-$B$1)&amp;"자)",IF(P46&lt;$B$1*0.5,"너무 짧음","적정")))</f>
        <v/>
      </c>
    </row>
    <row r="47" ht="18" customHeight="1">
      <c r="A47" s="9">
        <f>IF(B47="","",ROW()-3)</f>
        <v/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1">
        <f>IF($B47="","",_xlfn.TEXTJOIN(" ",TRUE,IF($E47&lt;&gt;"","'"&amp;$E47&amp;"' 활동에 참여하여 "&amp;$F47&amp;"을(를) 수행함."&amp;IF($G47&lt;&gt;""," "&amp;$G47&amp;"을(를) 보임.",""),""),IF($H47&lt;&gt;"","'"&amp;$H47&amp;"' 활동에서 "&amp;$I47&amp;"을(를) 수행함."&amp;IF($J47&lt;&gt;""," "&amp;$J47&amp;"을(를) 보임.",""),""),IF($K47&lt;&gt;"","'"&amp;$K47&amp;"' 활동을 통해 "&amp;$L47&amp;"을(를) 수행함."&amp;IF($M47&lt;&gt;""," "&amp;$M47&amp;"을(를) 보임.",""),""),$N47))</f>
        <v/>
      </c>
      <c r="P47" s="9">
        <f>IF(O47="","",LEN(O47))</f>
        <v/>
      </c>
      <c r="Q47" s="9">
        <f>IF(O47="","-",IF(P47&gt;$B$1,"초과 (+"&amp;(P47-$B$1)&amp;"자)",IF(P47&lt;$B$1*0.5,"너무 짧음","적정")))</f>
        <v/>
      </c>
    </row>
    <row r="48" ht="18" customHeight="1">
      <c r="A48" s="9">
        <f>IF(B48="","",ROW()-3)</f>
        <v/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1">
        <f>IF($B48="","",_xlfn.TEXTJOIN(" ",TRUE,IF($E48&lt;&gt;"","'"&amp;$E48&amp;"' 활동에 참여하여 "&amp;$F48&amp;"을(를) 수행함."&amp;IF($G48&lt;&gt;""," "&amp;$G48&amp;"을(를) 보임.",""),""),IF($H48&lt;&gt;"","'"&amp;$H48&amp;"' 활동에서 "&amp;$I48&amp;"을(를) 수행함."&amp;IF($J48&lt;&gt;""," "&amp;$J48&amp;"을(를) 보임.",""),""),IF($K48&lt;&gt;"","'"&amp;$K48&amp;"' 활동을 통해 "&amp;$L48&amp;"을(를) 수행함."&amp;IF($M48&lt;&gt;""," "&amp;$M48&amp;"을(를) 보임.",""),""),$N48))</f>
        <v/>
      </c>
      <c r="P48" s="9">
        <f>IF(O48="","",LEN(O48))</f>
        <v/>
      </c>
      <c r="Q48" s="9">
        <f>IF(O48="","-",IF(P48&gt;$B$1,"초과 (+"&amp;(P48-$B$1)&amp;"자)",IF(P48&lt;$B$1*0.5,"너무 짧음","적정")))</f>
        <v/>
      </c>
    </row>
    <row r="49" ht="18" customHeight="1">
      <c r="A49" s="9">
        <f>IF(B49="","",ROW()-3)</f>
        <v/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1">
        <f>IF($B49="","",_xlfn.TEXTJOIN(" ",TRUE,IF($E49&lt;&gt;"","'"&amp;$E49&amp;"' 활동에 참여하여 "&amp;$F49&amp;"을(를) 수행함."&amp;IF($G49&lt;&gt;""," "&amp;$G49&amp;"을(를) 보임.",""),""),IF($H49&lt;&gt;"","'"&amp;$H49&amp;"' 활동에서 "&amp;$I49&amp;"을(를) 수행함."&amp;IF($J49&lt;&gt;""," "&amp;$J49&amp;"을(를) 보임.",""),""),IF($K49&lt;&gt;"","'"&amp;$K49&amp;"' 활동을 통해 "&amp;$L49&amp;"을(를) 수행함."&amp;IF($M49&lt;&gt;""," "&amp;$M49&amp;"을(를) 보임.",""),""),$N49))</f>
        <v/>
      </c>
      <c r="P49" s="9">
        <f>IF(O49="","",LEN(O49))</f>
        <v/>
      </c>
      <c r="Q49" s="9">
        <f>IF(O49="","-",IF(P49&gt;$B$1,"초과 (+"&amp;(P49-$B$1)&amp;"자)",IF(P49&lt;$B$1*0.5,"너무 짧음","적정")))</f>
        <v/>
      </c>
    </row>
    <row r="50" ht="18" customHeight="1">
      <c r="A50" s="9">
        <f>IF(B50="","",ROW()-3)</f>
        <v/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1">
        <f>IF($B50="","",_xlfn.TEXTJOIN(" ",TRUE,IF($E50&lt;&gt;"","'"&amp;$E50&amp;"' 활동에 참여하여 "&amp;$F50&amp;"을(를) 수행함."&amp;IF($G50&lt;&gt;""," "&amp;$G50&amp;"을(를) 보임.",""),""),IF($H50&lt;&gt;"","'"&amp;$H50&amp;"' 활동에서 "&amp;$I50&amp;"을(를) 수행함."&amp;IF($J50&lt;&gt;""," "&amp;$J50&amp;"을(를) 보임.",""),""),IF($K50&lt;&gt;"","'"&amp;$K50&amp;"' 활동을 통해 "&amp;$L50&amp;"을(를) 수행함."&amp;IF($M50&lt;&gt;""," "&amp;$M50&amp;"을(를) 보임.",""),""),$N50))</f>
        <v/>
      </c>
      <c r="P50" s="9">
        <f>IF(O50="","",LEN(O50))</f>
        <v/>
      </c>
      <c r="Q50" s="9">
        <f>IF(O50="","-",IF(P50&gt;$B$1,"초과 (+"&amp;(P50-$B$1)&amp;"자)",IF(P50&lt;$B$1*0.5,"너무 짧음","적정")))</f>
        <v/>
      </c>
    </row>
    <row r="51" ht="18" customHeight="1">
      <c r="A51" s="9">
        <f>IF(B51="","",ROW()-3)</f>
        <v/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1">
        <f>IF($B51="","",_xlfn.TEXTJOIN(" ",TRUE,IF($E51&lt;&gt;"","'"&amp;$E51&amp;"' 활동에 참여하여 "&amp;$F51&amp;"을(를) 수행함."&amp;IF($G51&lt;&gt;""," "&amp;$G51&amp;"을(를) 보임.",""),""),IF($H51&lt;&gt;"","'"&amp;$H51&amp;"' 활동에서 "&amp;$I51&amp;"을(를) 수행함."&amp;IF($J51&lt;&gt;""," "&amp;$J51&amp;"을(를) 보임.",""),""),IF($K51&lt;&gt;"","'"&amp;$K51&amp;"' 활동을 통해 "&amp;$L51&amp;"을(를) 수행함."&amp;IF($M51&lt;&gt;""," "&amp;$M51&amp;"을(를) 보임.",""),""),$N51))</f>
        <v/>
      </c>
      <c r="P51" s="9">
        <f>IF(O51="","",LEN(O51))</f>
        <v/>
      </c>
      <c r="Q51" s="9">
        <f>IF(O51="","-",IF(P51&gt;$B$1,"초과 (+"&amp;(P51-$B$1)&amp;"자)",IF(P51&lt;$B$1*0.5,"너무 짧음","적정")))</f>
        <v/>
      </c>
    </row>
    <row r="52" ht="18" customHeight="1">
      <c r="A52" s="9">
        <f>IF(B52="","",ROW()-3)</f>
        <v/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1">
        <f>IF($B52="","",_xlfn.TEXTJOIN(" ",TRUE,IF($E52&lt;&gt;"","'"&amp;$E52&amp;"' 활동에 참여하여 "&amp;$F52&amp;"을(를) 수행함."&amp;IF($G52&lt;&gt;""," "&amp;$G52&amp;"을(를) 보임.",""),""),IF($H52&lt;&gt;"","'"&amp;$H52&amp;"' 활동에서 "&amp;$I52&amp;"을(를) 수행함."&amp;IF($J52&lt;&gt;""," "&amp;$J52&amp;"을(를) 보임.",""),""),IF($K52&lt;&gt;"","'"&amp;$K52&amp;"' 활동을 통해 "&amp;$L52&amp;"을(를) 수행함."&amp;IF($M52&lt;&gt;""," "&amp;$M52&amp;"을(를) 보임.",""),""),$N52))</f>
        <v/>
      </c>
      <c r="P52" s="9">
        <f>IF(O52="","",LEN(O52))</f>
        <v/>
      </c>
      <c r="Q52" s="9">
        <f>IF(O52="","-",IF(P52&gt;$B$1,"초과 (+"&amp;(P52-$B$1)&amp;"자)",IF(P52&lt;$B$1*0.5,"너무 짧음","적정")))</f>
        <v/>
      </c>
    </row>
    <row r="53" ht="18" customHeight="1">
      <c r="A53" s="9">
        <f>IF(B53="","",ROW()-3)</f>
        <v/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1">
        <f>IF($B53="","",_xlfn.TEXTJOIN(" ",TRUE,IF($E53&lt;&gt;"","'"&amp;$E53&amp;"' 활동에 참여하여 "&amp;$F53&amp;"을(를) 수행함."&amp;IF($G53&lt;&gt;""," "&amp;$G53&amp;"을(를) 보임.",""),""),IF($H53&lt;&gt;"","'"&amp;$H53&amp;"' 활동에서 "&amp;$I53&amp;"을(를) 수행함."&amp;IF($J53&lt;&gt;""," "&amp;$J53&amp;"을(를) 보임.",""),""),IF($K53&lt;&gt;"","'"&amp;$K53&amp;"' 활동을 통해 "&amp;$L53&amp;"을(를) 수행함."&amp;IF($M53&lt;&gt;""," "&amp;$M53&amp;"을(를) 보임.",""),""),$N53))</f>
        <v/>
      </c>
      <c r="P53" s="9">
        <f>IF(O53="","",LEN(O53))</f>
        <v/>
      </c>
      <c r="Q53" s="9">
        <f>IF(O53="","-",IF(P53&gt;$B$1,"초과 (+"&amp;(P53-$B$1)&amp;"자)",IF(P53&lt;$B$1*0.5,"너무 짧음","적정")))</f>
        <v/>
      </c>
    </row>
  </sheetData>
  <conditionalFormatting sqref="Q4:Q53">
    <cfRule type="cellIs" priority="1" operator="containsText" dxfId="0">
      <formula>"초과"</formula>
    </cfRule>
    <cfRule type="cellIs" priority="2" operator="equal" dxfId="1">
      <formula>"적정"</formula>
    </cfRule>
  </conditionalFormatting>
  <dataValidations count="1">
    <dataValidation sqref="D4:D53" showDropDown="0" showInputMessage="0" showErrorMessage="0" allowBlank="1" error="목록에 없는 과목은 직접 입력하셔도 됩니다." type="list" errorStyle="warning">
      <formula1>"국어,수학,영어,사회,역사,도덕,과학,물리학,화학,생명과학,지구과학,기술·가정,정보,체육,음악,미술,한국사,진로와 직업"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2026-07-26T00:59:27Z</dcterms:created>
  <dcterms:modified xsi:type="dcterms:W3CDTF">2026-07-26T00:59:27Z</dcterms:modified>
</cp:coreProperties>
</file>