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사용법" sheetId="1" state="visible" r:id="rId3"/>
    <sheet name="세특작성" sheetId="2" state="visible" r:id="rId4"/>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1" authorId="0">
      <text>
        <r>
          <rPr>
            <sz val="10"/>
            <rFont val="WenQuanYi Zen Hei"/>
            <family val="2"/>
          </rPr>
          <t xml:space="preserve">이 값을 바꾸면 아래 모든 행의 </t>
        </r>
        <r>
          <rPr>
            <sz val="10"/>
            <rFont val="Arial"/>
            <family val="2"/>
          </rPr>
          <t xml:space="preserve">'</t>
        </r>
        <r>
          <rPr>
            <sz val="10"/>
            <rFont val="WenQuanYi Zen Hei"/>
            <family val="2"/>
          </rPr>
          <t xml:space="preserve">상태</t>
        </r>
        <r>
          <rPr>
            <sz val="10"/>
            <rFont val="Arial"/>
            <family val="2"/>
          </rPr>
          <t xml:space="preserve">' </t>
        </r>
        <r>
          <rPr>
            <sz val="10"/>
            <rFont val="WenQuanYi Zen Hei"/>
            <family val="2"/>
          </rPr>
          <t xml:space="preserve">판정 기준이 함께 바뀝니다</t>
        </r>
        <r>
          <rPr>
            <sz val="10"/>
            <rFont val="Arial"/>
            <family val="2"/>
          </rPr>
          <t xml:space="preserve">.</t>
        </r>
      </text>
    </comment>
  </commentList>
</comments>
</file>

<file path=xl/sharedStrings.xml><?xml version="1.0" encoding="utf-8"?>
<sst xmlns="http://schemas.openxmlformats.org/spreadsheetml/2006/main" count="47" uniqueCount="47">
  <si>
    <r>
      <rPr>
        <b val="true"/>
        <sz val="16"/>
        <color rgb="FF1F4E78"/>
        <rFont val="WenQuanYi Zen Hei"/>
        <family val="2"/>
      </rPr>
      <t xml:space="preserve">과목별 세부능력 및 특기사항</t>
    </r>
    <r>
      <rPr>
        <b val="true"/>
        <sz val="16"/>
        <color rgb="FF1F4E78"/>
        <rFont val="맑은 고딕"/>
        <family val="0"/>
        <charset val="1"/>
      </rPr>
      <t xml:space="preserve">(</t>
    </r>
    <r>
      <rPr>
        <b val="true"/>
        <sz val="16"/>
        <color rgb="FF1F4E78"/>
        <rFont val="WenQuanYi Zen Hei"/>
        <family val="2"/>
      </rPr>
      <t xml:space="preserve">세특</t>
    </r>
    <r>
      <rPr>
        <b val="true"/>
        <sz val="16"/>
        <color rgb="FF1F4E78"/>
        <rFont val="맑은 고딕"/>
        <family val="0"/>
        <charset val="1"/>
      </rPr>
      <t xml:space="preserve">) </t>
    </r>
    <r>
      <rPr>
        <b val="true"/>
        <sz val="16"/>
        <color rgb="FF1F4E78"/>
        <rFont val="WenQuanYi Zen Hei"/>
        <family val="2"/>
      </rPr>
      <t xml:space="preserve">작성 스프레드시트</t>
    </r>
  </si>
  <si>
    <r>
      <rPr>
        <sz val="11"/>
        <rFont val="WenQuanYi Zen Hei"/>
        <family val="2"/>
      </rPr>
      <t xml:space="preserve">이 파일은 학생이 수행한 결과물</t>
    </r>
    <r>
      <rPr>
        <sz val="11"/>
        <rFont val="맑은 고딕"/>
        <family val="0"/>
        <charset val="1"/>
      </rPr>
      <t xml:space="preserve">(PDF) </t>
    </r>
    <r>
      <rPr>
        <sz val="11"/>
        <rFont val="WenQuanYi Zen Hei"/>
        <family val="2"/>
      </rPr>
      <t xml:space="preserve">또는 직접 입력한 자료를 바탕으로</t>
    </r>
    <r>
      <rPr>
        <sz val="11"/>
        <rFont val="맑은 고딕"/>
        <family val="0"/>
        <charset val="1"/>
      </rPr>
      <t xml:space="preserve">,</t>
    </r>
  </si>
  <si>
    <r>
      <rPr>
        <sz val="11"/>
        <rFont val="WenQuanYi Zen Hei"/>
        <family val="2"/>
      </rPr>
      <t xml:space="preserve">엑셀 함수</t>
    </r>
    <r>
      <rPr>
        <sz val="11"/>
        <rFont val="맑은 고딕"/>
        <family val="0"/>
        <charset val="1"/>
      </rPr>
      <t xml:space="preserve">(TEXTJOIN, IF </t>
    </r>
    <r>
      <rPr>
        <sz val="11"/>
        <rFont val="WenQuanYi Zen Hei"/>
        <family val="2"/>
      </rPr>
      <t xml:space="preserve">등</t>
    </r>
    <r>
      <rPr>
        <sz val="11"/>
        <rFont val="맑은 고딕"/>
        <family val="0"/>
        <charset val="1"/>
      </rPr>
      <t xml:space="preserve">)</t>
    </r>
    <r>
      <rPr>
        <sz val="11"/>
        <rFont val="WenQuanYi Zen Hei"/>
        <family val="2"/>
      </rPr>
      <t xml:space="preserve">를 이용해 과목별 세특 문구 초안을 자동으로 조립해주는 도구입니다</t>
    </r>
    <r>
      <rPr>
        <sz val="11"/>
        <rFont val="맑은 고딕"/>
        <family val="0"/>
        <charset val="1"/>
      </rPr>
      <t xml:space="preserve">.</t>
    </r>
  </si>
  <si>
    <t xml:space="preserve">사용 순서</t>
  </si>
  <si>
    <r>
      <rPr>
        <sz val="11"/>
        <rFont val="맑은 고딕"/>
        <family val="0"/>
        <charset val="1"/>
      </rPr>
      <t xml:space="preserve">1. 'PDF </t>
    </r>
    <r>
      <rPr>
        <sz val="11"/>
        <rFont val="WenQuanYi Zen Hei"/>
        <family val="2"/>
      </rPr>
      <t xml:space="preserve">자료</t>
    </r>
    <r>
      <rPr>
        <sz val="11"/>
        <rFont val="맑은 고딕"/>
        <family val="0"/>
        <charset val="1"/>
      </rPr>
      <t xml:space="preserve">'</t>
    </r>
    <r>
      <rPr>
        <sz val="11"/>
        <rFont val="WenQuanYi Zen Hei"/>
        <family val="2"/>
      </rPr>
      <t xml:space="preserve">가 있는 경우</t>
    </r>
    <r>
      <rPr>
        <sz val="11"/>
        <rFont val="맑은 고딕"/>
        <family val="0"/>
        <charset val="1"/>
      </rPr>
      <t xml:space="preserve">: PDF </t>
    </r>
    <r>
      <rPr>
        <sz val="11"/>
        <rFont val="WenQuanYi Zen Hei"/>
        <family val="2"/>
      </rPr>
      <t xml:space="preserve">결과물의 핵심 내용을 확인한 뒤</t>
    </r>
    <r>
      <rPr>
        <sz val="11"/>
        <rFont val="맑은 고딕"/>
        <family val="0"/>
        <charset val="1"/>
      </rPr>
      <t xml:space="preserve">, </t>
    </r>
    <r>
      <rPr>
        <sz val="11"/>
        <rFont val="WenQuanYi Zen Hei"/>
        <family val="2"/>
      </rPr>
      <t xml:space="preserve">활동명 </t>
    </r>
    <r>
      <rPr>
        <sz val="11"/>
        <rFont val="맑은 고딕"/>
        <family val="0"/>
        <charset val="1"/>
      </rPr>
      <t xml:space="preserve">/ </t>
    </r>
    <r>
      <rPr>
        <sz val="11"/>
        <rFont val="WenQuanYi Zen Hei"/>
        <family val="2"/>
      </rPr>
      <t xml:space="preserve">수행내용 </t>
    </r>
    <r>
      <rPr>
        <sz val="11"/>
        <rFont val="맑은 고딕"/>
        <family val="0"/>
        <charset val="1"/>
      </rPr>
      <t xml:space="preserve">/ </t>
    </r>
    <r>
      <rPr>
        <sz val="11"/>
        <rFont val="WenQuanYi Zen Hei"/>
        <family val="2"/>
      </rPr>
      <t xml:space="preserve">배운점</t>
    </r>
    <r>
      <rPr>
        <sz val="11"/>
        <rFont val="맑은 고딕"/>
        <family val="0"/>
        <charset val="1"/>
      </rPr>
      <t xml:space="preserve">(</t>
    </r>
    <r>
      <rPr>
        <sz val="11"/>
        <rFont val="WenQuanYi Zen Hei"/>
        <family val="2"/>
      </rPr>
      <t xml:space="preserve">성장</t>
    </r>
    <r>
      <rPr>
        <sz val="11"/>
        <rFont val="맑은 고딕"/>
        <family val="0"/>
        <charset val="1"/>
      </rPr>
      <t xml:space="preserve">)</t>
    </r>
    <r>
      <rPr>
        <sz val="11"/>
        <rFont val="WenQuanYi Zen Hei"/>
        <family val="2"/>
      </rPr>
      <t xml:space="preserve">으로</t>
    </r>
  </si>
  <si>
    <r>
      <rPr>
        <sz val="11"/>
        <rFont val="WenQuanYi Zen Hei"/>
        <family val="2"/>
      </rPr>
      <t xml:space="preserve">   요약하여 </t>
    </r>
    <r>
      <rPr>
        <sz val="11"/>
        <rFont val="맑은 고딕"/>
        <family val="0"/>
        <charset val="1"/>
      </rPr>
      <t xml:space="preserve">'</t>
    </r>
    <r>
      <rPr>
        <sz val="11"/>
        <rFont val="WenQuanYi Zen Hei"/>
        <family val="2"/>
      </rPr>
      <t xml:space="preserve">세특작성</t>
    </r>
    <r>
      <rPr>
        <sz val="11"/>
        <rFont val="맑은 고딕"/>
        <family val="0"/>
        <charset val="1"/>
      </rPr>
      <t xml:space="preserve">' </t>
    </r>
    <r>
      <rPr>
        <sz val="11"/>
        <rFont val="WenQuanYi Zen Hei"/>
        <family val="2"/>
      </rPr>
      <t xml:space="preserve">시트에 입력하세요</t>
    </r>
    <r>
      <rPr>
        <sz val="11"/>
        <rFont val="맑은 고딕"/>
        <family val="0"/>
        <charset val="1"/>
      </rPr>
      <t xml:space="preserve">. (</t>
    </r>
    <r>
      <rPr>
        <sz val="11"/>
        <rFont val="WenQuanYi Zen Hei"/>
        <family val="2"/>
      </rPr>
      <t xml:space="preserve">엑셀 함수는 </t>
    </r>
    <r>
      <rPr>
        <sz val="11"/>
        <rFont val="맑은 고딕"/>
        <family val="0"/>
        <charset val="1"/>
      </rPr>
      <t xml:space="preserve">PDF </t>
    </r>
    <r>
      <rPr>
        <sz val="11"/>
        <rFont val="WenQuanYi Zen Hei"/>
        <family val="2"/>
      </rPr>
      <t xml:space="preserve">파일을 직접 읽을 수 없어</t>
    </r>
    <r>
      <rPr>
        <sz val="11"/>
        <rFont val="맑은 고딕"/>
        <family val="0"/>
        <charset val="1"/>
      </rPr>
      <t xml:space="preserve">, </t>
    </r>
    <r>
      <rPr>
        <sz val="11"/>
        <rFont val="WenQuanYi Zen Hei"/>
        <family val="2"/>
      </rPr>
      <t xml:space="preserve">내용을 사람이</t>
    </r>
  </si>
  <si>
    <r>
      <rPr>
        <sz val="11"/>
        <rFont val="WenQuanYi Zen Hei"/>
        <family val="2"/>
      </rPr>
      <t xml:space="preserve">   먼저 구조화된 형태로 옮겨 적어야 합니다</t>
    </r>
    <r>
      <rPr>
        <sz val="11"/>
        <rFont val="맑은 고딕"/>
        <family val="0"/>
        <charset val="1"/>
      </rPr>
      <t xml:space="preserve">.)</t>
    </r>
  </si>
  <si>
    <r>
      <rPr>
        <sz val="11"/>
        <rFont val="맑은 고딕"/>
        <family val="0"/>
        <charset val="1"/>
      </rPr>
      <t xml:space="preserve">2. '</t>
    </r>
    <r>
      <rPr>
        <sz val="11"/>
        <rFont val="WenQuanYi Zen Hei"/>
        <family val="2"/>
      </rPr>
      <t xml:space="preserve">직접 입력</t>
    </r>
    <r>
      <rPr>
        <sz val="11"/>
        <rFont val="맑은 고딕"/>
        <family val="0"/>
        <charset val="1"/>
      </rPr>
      <t xml:space="preserve">'</t>
    </r>
    <r>
      <rPr>
        <sz val="11"/>
        <rFont val="WenQuanYi Zen Hei"/>
        <family val="2"/>
      </rPr>
      <t xml:space="preserve">하는 경우에도 동일하게 활동명 </t>
    </r>
    <r>
      <rPr>
        <sz val="11"/>
        <rFont val="맑은 고딕"/>
        <family val="0"/>
        <charset val="1"/>
      </rPr>
      <t xml:space="preserve">/ </t>
    </r>
    <r>
      <rPr>
        <sz val="11"/>
        <rFont val="WenQuanYi Zen Hei"/>
        <family val="2"/>
      </rPr>
      <t xml:space="preserve">수행내용 </t>
    </r>
    <r>
      <rPr>
        <sz val="11"/>
        <rFont val="맑은 고딕"/>
        <family val="0"/>
        <charset val="1"/>
      </rPr>
      <t xml:space="preserve">/ </t>
    </r>
    <r>
      <rPr>
        <sz val="11"/>
        <rFont val="WenQuanYi Zen Hei"/>
        <family val="2"/>
      </rPr>
      <t xml:space="preserve">배운점 형태로 나누어 입력하세요</t>
    </r>
    <r>
      <rPr>
        <sz val="11"/>
        <rFont val="맑은 고딕"/>
        <family val="0"/>
        <charset val="1"/>
      </rPr>
      <t xml:space="preserve">.</t>
    </r>
  </si>
  <si>
    <r>
      <rPr>
        <sz val="11"/>
        <rFont val="맑은 고딕"/>
        <family val="0"/>
        <charset val="1"/>
      </rPr>
      <t xml:space="preserve">3. </t>
    </r>
    <r>
      <rPr>
        <sz val="11"/>
        <rFont val="WenQuanYi Zen Hei"/>
        <family val="2"/>
      </rPr>
      <t xml:space="preserve">학생 한 명</t>
    </r>
    <r>
      <rPr>
        <sz val="11"/>
        <rFont val="맑은 고딕"/>
        <family val="0"/>
        <charset val="1"/>
      </rPr>
      <t xml:space="preserve">·</t>
    </r>
    <r>
      <rPr>
        <sz val="11"/>
        <rFont val="WenQuanYi Zen Hei"/>
        <family val="2"/>
      </rPr>
      <t xml:space="preserve">한 과목당 한 행에 최대 </t>
    </r>
    <r>
      <rPr>
        <sz val="11"/>
        <rFont val="맑은 고딕"/>
        <family val="0"/>
        <charset val="1"/>
      </rPr>
      <t xml:space="preserve">3</t>
    </r>
    <r>
      <rPr>
        <sz val="11"/>
        <rFont val="WenQuanYi Zen Hei"/>
        <family val="2"/>
      </rPr>
      <t xml:space="preserve">개까지의 활동을 입력할 수 있습니다</t>
    </r>
    <r>
      <rPr>
        <sz val="11"/>
        <rFont val="맑은 고딕"/>
        <family val="0"/>
        <charset val="1"/>
      </rPr>
      <t xml:space="preserve">. (</t>
    </r>
    <r>
      <rPr>
        <sz val="11"/>
        <rFont val="WenQuanYi Zen Hei"/>
        <family val="2"/>
      </rPr>
      <t xml:space="preserve">노란색 셀이 입력 칸</t>
    </r>
    <r>
      <rPr>
        <sz val="11"/>
        <rFont val="맑은 고딕"/>
        <family val="0"/>
        <charset val="1"/>
      </rPr>
      <t xml:space="preserve">)</t>
    </r>
  </si>
  <si>
    <r>
      <rPr>
        <sz val="11"/>
        <rFont val="맑은 고딕"/>
        <family val="0"/>
        <charset val="1"/>
      </rPr>
      <t xml:space="preserve">4. '</t>
    </r>
    <r>
      <rPr>
        <sz val="11"/>
        <rFont val="WenQuanYi Zen Hei"/>
        <family val="2"/>
      </rPr>
      <t xml:space="preserve">세특 초안</t>
    </r>
    <r>
      <rPr>
        <sz val="11"/>
        <rFont val="맑은 고딕"/>
        <family val="0"/>
        <charset val="1"/>
      </rPr>
      <t xml:space="preserve">' </t>
    </r>
    <r>
      <rPr>
        <sz val="11"/>
        <rFont val="WenQuanYi Zen Hei"/>
        <family val="2"/>
      </rPr>
      <t xml:space="preserve">열에 각 활동이 자동으로 연결되어 하나의 문단으로 조립됩니다</t>
    </r>
    <r>
      <rPr>
        <sz val="11"/>
        <rFont val="맑은 고딕"/>
        <family val="0"/>
        <charset val="1"/>
      </rPr>
      <t xml:space="preserve">.</t>
    </r>
  </si>
  <si>
    <r>
      <rPr>
        <sz val="11"/>
        <rFont val="맑은 고딕"/>
        <family val="0"/>
        <charset val="1"/>
      </rPr>
      <t xml:space="preserve">5. '</t>
    </r>
    <r>
      <rPr>
        <sz val="11"/>
        <rFont val="WenQuanYi Zen Hei"/>
        <family val="2"/>
      </rPr>
      <t xml:space="preserve">글자수</t>
    </r>
    <r>
      <rPr>
        <sz val="11"/>
        <rFont val="맑은 고딕"/>
        <family val="0"/>
        <charset val="1"/>
      </rPr>
      <t xml:space="preserve">'</t>
    </r>
    <r>
      <rPr>
        <sz val="11"/>
        <rFont val="WenQuanYi Zen Hei"/>
        <family val="2"/>
      </rPr>
      <t xml:space="preserve">와 </t>
    </r>
    <r>
      <rPr>
        <sz val="11"/>
        <rFont val="맑은 고딕"/>
        <family val="0"/>
        <charset val="1"/>
      </rPr>
      <t xml:space="preserve">'</t>
    </r>
    <r>
      <rPr>
        <sz val="11"/>
        <rFont val="WenQuanYi Zen Hei"/>
        <family val="2"/>
      </rPr>
      <t xml:space="preserve">상태</t>
    </r>
    <r>
      <rPr>
        <sz val="11"/>
        <rFont val="맑은 고딕"/>
        <family val="0"/>
        <charset val="1"/>
      </rPr>
      <t xml:space="preserve">' </t>
    </r>
    <r>
      <rPr>
        <sz val="11"/>
        <rFont val="WenQuanYi Zen Hei"/>
        <family val="2"/>
      </rPr>
      <t xml:space="preserve">열에서 목표 글자수</t>
    </r>
    <r>
      <rPr>
        <sz val="11"/>
        <rFont val="맑은 고딕"/>
        <family val="0"/>
        <charset val="1"/>
      </rPr>
      <t xml:space="preserve">(B1) </t>
    </r>
    <r>
      <rPr>
        <sz val="11"/>
        <rFont val="WenQuanYi Zen Hei"/>
        <family val="2"/>
      </rPr>
      <t xml:space="preserve">대비 적정</t>
    </r>
    <r>
      <rPr>
        <sz val="11"/>
        <rFont val="맑은 고딕"/>
        <family val="0"/>
        <charset val="1"/>
      </rPr>
      <t xml:space="preserve">/</t>
    </r>
    <r>
      <rPr>
        <sz val="11"/>
        <rFont val="WenQuanYi Zen Hei"/>
        <family val="2"/>
      </rPr>
      <t xml:space="preserve">초과 여부를 바로 확인할 수 있습니다</t>
    </r>
    <r>
      <rPr>
        <sz val="11"/>
        <rFont val="맑은 고딕"/>
        <family val="0"/>
        <charset val="1"/>
      </rPr>
      <t xml:space="preserve">.</t>
    </r>
  </si>
  <si>
    <r>
      <rPr>
        <sz val="11"/>
        <rFont val="맑은 고딕"/>
        <family val="0"/>
        <charset val="1"/>
      </rPr>
      <t xml:space="preserve">6. </t>
    </r>
    <r>
      <rPr>
        <sz val="11"/>
        <rFont val="WenQuanYi Zen Hei"/>
        <family val="2"/>
      </rPr>
      <t xml:space="preserve">자동 생성된 초안은 반드시 교사가 사실관계와 문장을 검토</t>
    </r>
    <r>
      <rPr>
        <sz val="11"/>
        <rFont val="맑은 고딕"/>
        <family val="0"/>
        <charset val="1"/>
      </rPr>
      <t xml:space="preserve">·</t>
    </r>
    <r>
      <rPr>
        <sz val="11"/>
        <rFont val="WenQuanYi Zen Hei"/>
        <family val="2"/>
      </rPr>
      <t xml:space="preserve">수정한 후 학교생활기록부에 반영하세요</t>
    </r>
    <r>
      <rPr>
        <sz val="11"/>
        <rFont val="맑은 고딕"/>
        <family val="0"/>
        <charset val="1"/>
      </rPr>
      <t xml:space="preserve">.</t>
    </r>
  </si>
  <si>
    <t xml:space="preserve">색상 범례</t>
  </si>
  <si>
    <r>
      <rPr>
        <sz val="11"/>
        <rFont val="WenQuanYi Zen Hei"/>
        <family val="2"/>
      </rPr>
      <t xml:space="preserve">노란색 셀 </t>
    </r>
    <r>
      <rPr>
        <sz val="11"/>
        <rFont val="맑은 고딕"/>
        <family val="0"/>
        <charset val="1"/>
      </rPr>
      <t xml:space="preserve">: </t>
    </r>
    <r>
      <rPr>
        <sz val="11"/>
        <rFont val="WenQuanYi Zen Hei"/>
        <family val="2"/>
      </rPr>
      <t xml:space="preserve">직접 입력하는 칸 </t>
    </r>
    <r>
      <rPr>
        <sz val="11"/>
        <rFont val="맑은 고딕"/>
        <family val="0"/>
        <charset val="1"/>
      </rPr>
      <t xml:space="preserve">(</t>
    </r>
    <r>
      <rPr>
        <sz val="11"/>
        <rFont val="WenQuanYi Zen Hei"/>
        <family val="2"/>
      </rPr>
      <t xml:space="preserve">학생 정보</t>
    </r>
    <r>
      <rPr>
        <sz val="11"/>
        <rFont val="맑은 고딕"/>
        <family val="0"/>
        <charset val="1"/>
      </rPr>
      <t xml:space="preserve">, </t>
    </r>
    <r>
      <rPr>
        <sz val="11"/>
        <rFont val="WenQuanYi Zen Hei"/>
        <family val="2"/>
      </rPr>
      <t xml:space="preserve">활동명</t>
    </r>
    <r>
      <rPr>
        <sz val="11"/>
        <rFont val="맑은 고딕"/>
        <family val="0"/>
        <charset val="1"/>
      </rPr>
      <t xml:space="preserve">, </t>
    </r>
    <r>
      <rPr>
        <sz val="11"/>
        <rFont val="WenQuanYi Zen Hei"/>
        <family val="2"/>
      </rPr>
      <t xml:space="preserve">수행내용</t>
    </r>
    <r>
      <rPr>
        <sz val="11"/>
        <rFont val="맑은 고딕"/>
        <family val="0"/>
        <charset val="1"/>
      </rPr>
      <t xml:space="preserve">, </t>
    </r>
    <r>
      <rPr>
        <sz val="11"/>
        <rFont val="WenQuanYi Zen Hei"/>
        <family val="2"/>
      </rPr>
      <t xml:space="preserve">배운점</t>
    </r>
    <r>
      <rPr>
        <sz val="11"/>
        <rFont val="맑은 고딕"/>
        <family val="0"/>
        <charset val="1"/>
      </rPr>
      <t xml:space="preserve">, </t>
    </r>
    <r>
      <rPr>
        <sz val="11"/>
        <rFont val="WenQuanYi Zen Hei"/>
        <family val="2"/>
      </rPr>
      <t xml:space="preserve">목표 글자수 등</t>
    </r>
    <r>
      <rPr>
        <sz val="11"/>
        <rFont val="맑은 고딕"/>
        <family val="0"/>
        <charset val="1"/>
      </rPr>
      <t xml:space="preserve">)</t>
    </r>
  </si>
  <si>
    <r>
      <rPr>
        <sz val="11"/>
        <rFont val="WenQuanYi Zen Hei"/>
        <family val="2"/>
      </rPr>
      <t xml:space="preserve">회색 셀   </t>
    </r>
    <r>
      <rPr>
        <sz val="11"/>
        <rFont val="맑은 고딕"/>
        <family val="0"/>
        <charset val="1"/>
      </rPr>
      <t xml:space="preserve">: </t>
    </r>
    <r>
      <rPr>
        <sz val="11"/>
        <rFont val="WenQuanYi Zen Hei"/>
        <family val="2"/>
      </rPr>
      <t xml:space="preserve">수식으로 자동 계산되는 칸 </t>
    </r>
    <r>
      <rPr>
        <sz val="11"/>
        <rFont val="맑은 고딕"/>
        <family val="0"/>
        <charset val="1"/>
      </rPr>
      <t xml:space="preserve">(</t>
    </r>
    <r>
      <rPr>
        <sz val="11"/>
        <rFont val="WenQuanYi Zen Hei"/>
        <family val="2"/>
      </rPr>
      <t xml:space="preserve">세특 초안</t>
    </r>
    <r>
      <rPr>
        <sz val="11"/>
        <rFont val="맑은 고딕"/>
        <family val="0"/>
        <charset val="1"/>
      </rPr>
      <t xml:space="preserve">, </t>
    </r>
    <r>
      <rPr>
        <sz val="11"/>
        <rFont val="WenQuanYi Zen Hei"/>
        <family val="2"/>
      </rPr>
      <t xml:space="preserve">글자수</t>
    </r>
    <r>
      <rPr>
        <sz val="11"/>
        <rFont val="맑은 고딕"/>
        <family val="0"/>
        <charset val="1"/>
      </rPr>
      <t xml:space="preserve">, </t>
    </r>
    <r>
      <rPr>
        <sz val="11"/>
        <rFont val="WenQuanYi Zen Hei"/>
        <family val="2"/>
      </rPr>
      <t xml:space="preserve">상태</t>
    </r>
    <r>
      <rPr>
        <sz val="11"/>
        <rFont val="맑은 고딕"/>
        <family val="0"/>
        <charset val="1"/>
      </rPr>
      <t xml:space="preserve">) — </t>
    </r>
    <r>
      <rPr>
        <sz val="11"/>
        <rFont val="WenQuanYi Zen Hei"/>
        <family val="2"/>
      </rPr>
      <t xml:space="preserve">직접 수정하지 마세요</t>
    </r>
    <r>
      <rPr>
        <sz val="11"/>
        <rFont val="맑은 고딕"/>
        <family val="0"/>
        <charset val="1"/>
      </rPr>
      <t xml:space="preserve">.</t>
    </r>
  </si>
  <si>
    <r>
      <rPr>
        <i val="true"/>
        <sz val="10"/>
        <color rgb="FF808080"/>
        <rFont val="맑은 고딕"/>
        <family val="0"/>
        <charset val="1"/>
      </rPr>
      <t xml:space="preserve">* AI</t>
    </r>
    <r>
      <rPr>
        <i val="true"/>
        <sz val="10"/>
        <color rgb="FF808080"/>
        <rFont val="WenQuanYi Zen Hei"/>
        <family val="2"/>
      </rPr>
      <t xml:space="preserve">를 이용해 더 자연스러운 문장으로 자동 생성하고 싶다면</t>
    </r>
    <r>
      <rPr>
        <i val="true"/>
        <sz val="10"/>
        <color rgb="FF808080"/>
        <rFont val="맑은 고딕"/>
        <family val="0"/>
        <charset val="1"/>
      </rPr>
      <t xml:space="preserve">, </t>
    </r>
    <r>
      <rPr>
        <i val="true"/>
        <sz val="10"/>
        <color rgb="FF808080"/>
        <rFont val="WenQuanYi Zen Hei"/>
        <family val="2"/>
      </rPr>
      <t xml:space="preserve">별도로 제공된 </t>
    </r>
    <r>
      <rPr>
        <i val="true"/>
        <sz val="10"/>
        <color rgb="FF808080"/>
        <rFont val="맑은 고딕"/>
        <family val="0"/>
        <charset val="1"/>
      </rPr>
      <t xml:space="preserve">Streamlit </t>
    </r>
    <r>
      <rPr>
        <i val="true"/>
        <sz val="10"/>
        <color rgb="FF808080"/>
        <rFont val="WenQuanYi Zen Hei"/>
        <family val="2"/>
      </rPr>
      <t xml:space="preserve">앱</t>
    </r>
  </si>
  <si>
    <r>
      <rPr>
        <i val="true"/>
        <sz val="10"/>
        <color rgb="FF808080"/>
        <rFont val="맑은 고딕"/>
        <family val="0"/>
        <charset val="1"/>
      </rPr>
      <t xml:space="preserve">  (app.py, Claude API </t>
    </r>
    <r>
      <rPr>
        <i val="true"/>
        <sz val="10"/>
        <color rgb="FF808080"/>
        <rFont val="WenQuanYi Zen Hei"/>
        <family val="2"/>
      </rPr>
      <t xml:space="preserve">연동</t>
    </r>
    <r>
      <rPr>
        <i val="true"/>
        <sz val="10"/>
        <color rgb="FF808080"/>
        <rFont val="맑은 고딕"/>
        <family val="0"/>
        <charset val="1"/>
      </rPr>
      <t xml:space="preserve">)</t>
    </r>
    <r>
      <rPr>
        <i val="true"/>
        <sz val="10"/>
        <color rgb="FF808080"/>
        <rFont val="WenQuanYi Zen Hei"/>
        <family val="2"/>
      </rPr>
      <t xml:space="preserve">을 함께 사용하는 것을 권장합니다</t>
    </r>
    <r>
      <rPr>
        <i val="true"/>
        <sz val="10"/>
        <color rgb="FF808080"/>
        <rFont val="맑은 고딕"/>
        <family val="0"/>
        <charset val="1"/>
      </rPr>
      <t xml:space="preserve">. </t>
    </r>
    <r>
      <rPr>
        <i val="true"/>
        <sz val="10"/>
        <color rgb="FF808080"/>
        <rFont val="WenQuanYi Zen Hei"/>
        <family val="2"/>
      </rPr>
      <t xml:space="preserve">이 스프레드시트는 인터넷</t>
    </r>
    <r>
      <rPr>
        <i val="true"/>
        <sz val="10"/>
        <color rgb="FF808080"/>
        <rFont val="맑은 고딕"/>
        <family val="0"/>
        <charset val="1"/>
      </rPr>
      <t xml:space="preserve">/AI </t>
    </r>
    <r>
      <rPr>
        <i val="true"/>
        <sz val="10"/>
        <color rgb="FF808080"/>
        <rFont val="WenQuanYi Zen Hei"/>
        <family val="2"/>
      </rPr>
      <t xml:space="preserve">없이</t>
    </r>
  </si>
  <si>
    <r>
      <rPr>
        <i val="true"/>
        <sz val="10"/>
        <color rgb="FF808080"/>
        <rFont val="WenQuanYi Zen Hei"/>
        <family val="2"/>
      </rPr>
      <t xml:space="preserve">  엑셀 함수만으로 빠르게 초안을 조립하고 싶을 때 사용하는 용도입니다</t>
    </r>
    <r>
      <rPr>
        <i val="true"/>
        <sz val="10"/>
        <color rgb="FF808080"/>
        <rFont val="맑은 고딕"/>
        <family val="0"/>
        <charset val="1"/>
      </rPr>
      <t xml:space="preserve">.</t>
    </r>
  </si>
  <si>
    <r>
      <rPr>
        <b val="true"/>
        <sz val="10"/>
        <rFont val="WenQuanYi Zen Hei"/>
        <family val="2"/>
      </rPr>
      <t xml:space="preserve">목표 글자수 </t>
    </r>
    <r>
      <rPr>
        <b val="true"/>
        <sz val="10"/>
        <rFont val="맑은 고딕"/>
        <family val="0"/>
        <charset val="1"/>
      </rPr>
      <t xml:space="preserve">(</t>
    </r>
    <r>
      <rPr>
        <b val="true"/>
        <sz val="10"/>
        <rFont val="WenQuanYi Zen Hei"/>
        <family val="2"/>
      </rPr>
      <t xml:space="preserve">공백 포함</t>
    </r>
    <r>
      <rPr>
        <b val="true"/>
        <sz val="10"/>
        <rFont val="맑은 고딕"/>
        <family val="0"/>
        <charset val="1"/>
      </rPr>
      <t xml:space="preserve">):</t>
    </r>
  </si>
  <si>
    <r>
      <rPr>
        <i val="true"/>
        <sz val="10"/>
        <color rgb="FF808080"/>
        <rFont val="맑은 고딕"/>
        <family val="0"/>
        <charset val="1"/>
      </rPr>
      <t xml:space="preserve">(</t>
    </r>
    <r>
      <rPr>
        <i val="true"/>
        <sz val="10"/>
        <color rgb="FF808080"/>
        <rFont val="WenQuanYi Zen Hei"/>
        <family val="2"/>
      </rPr>
      <t xml:space="preserve">값을 바꾸면 전체 행의 글자수 상태가 자동으로 갱신됩니다</t>
    </r>
    <r>
      <rPr>
        <i val="true"/>
        <sz val="10"/>
        <color rgb="FF808080"/>
        <rFont val="맑은 고딕"/>
        <family val="0"/>
        <charset val="1"/>
      </rPr>
      <t xml:space="preserve">)</t>
    </r>
  </si>
  <si>
    <t xml:space="preserve">순번</t>
  </si>
  <si>
    <t xml:space="preserve">학생 이름</t>
  </si>
  <si>
    <r>
      <rPr>
        <b val="true"/>
        <sz val="10"/>
        <color rgb="FFFFFFFF"/>
        <rFont val="WenQuanYi Zen Hei"/>
        <family val="2"/>
      </rPr>
      <t xml:space="preserve">학년</t>
    </r>
    <r>
      <rPr>
        <b val="true"/>
        <sz val="10"/>
        <color rgb="FFFFFFFF"/>
        <rFont val="맑은 고딕"/>
        <family val="0"/>
        <charset val="1"/>
      </rPr>
      <t xml:space="preserve">/</t>
    </r>
    <r>
      <rPr>
        <b val="true"/>
        <sz val="10"/>
        <color rgb="FFFFFFFF"/>
        <rFont val="WenQuanYi Zen Hei"/>
        <family val="2"/>
      </rPr>
      <t xml:space="preserve">반</t>
    </r>
    <r>
      <rPr>
        <b val="true"/>
        <sz val="10"/>
        <color rgb="FFFFFFFF"/>
        <rFont val="맑은 고딕"/>
        <family val="0"/>
        <charset val="1"/>
      </rPr>
      <t xml:space="preserve">/</t>
    </r>
    <r>
      <rPr>
        <b val="true"/>
        <sz val="10"/>
        <color rgb="FFFFFFFF"/>
        <rFont val="WenQuanYi Zen Hei"/>
        <family val="2"/>
      </rPr>
      <t xml:space="preserve">번호</t>
    </r>
  </si>
  <si>
    <t xml:space="preserve">과목</t>
  </si>
  <si>
    <r>
      <rPr>
        <b val="true"/>
        <sz val="10"/>
        <color rgb="FFFFFFFF"/>
        <rFont val="WenQuanYi Zen Hei"/>
        <family val="2"/>
      </rPr>
      <t xml:space="preserve">활동</t>
    </r>
    <r>
      <rPr>
        <b val="true"/>
        <sz val="10"/>
        <color rgb="FFFFFFFF"/>
        <rFont val="맑은 고딕"/>
        <family val="0"/>
        <charset val="1"/>
      </rPr>
      <t xml:space="preserve">1
</t>
    </r>
    <r>
      <rPr>
        <b val="true"/>
        <sz val="10"/>
        <color rgb="FFFFFFFF"/>
        <rFont val="WenQuanYi Zen Hei"/>
        <family val="2"/>
      </rPr>
      <t xml:space="preserve">활동명</t>
    </r>
  </si>
  <si>
    <r>
      <rPr>
        <b val="true"/>
        <sz val="10"/>
        <color rgb="FFFFFFFF"/>
        <rFont val="WenQuanYi Zen Hei"/>
        <family val="2"/>
      </rPr>
      <t xml:space="preserve">활동</t>
    </r>
    <r>
      <rPr>
        <b val="true"/>
        <sz val="10"/>
        <color rgb="FFFFFFFF"/>
        <rFont val="맑은 고딕"/>
        <family val="0"/>
        <charset val="1"/>
      </rPr>
      <t xml:space="preserve">1
</t>
    </r>
    <r>
      <rPr>
        <b val="true"/>
        <sz val="10"/>
        <color rgb="FFFFFFFF"/>
        <rFont val="WenQuanYi Zen Hei"/>
        <family val="2"/>
      </rPr>
      <t xml:space="preserve">수행내용</t>
    </r>
  </si>
  <si>
    <r>
      <rPr>
        <b val="true"/>
        <sz val="10"/>
        <color rgb="FFFFFFFF"/>
        <rFont val="WenQuanYi Zen Hei"/>
        <family val="2"/>
      </rPr>
      <t xml:space="preserve">활동</t>
    </r>
    <r>
      <rPr>
        <b val="true"/>
        <sz val="10"/>
        <color rgb="FFFFFFFF"/>
        <rFont val="맑은 고딕"/>
        <family val="0"/>
        <charset val="1"/>
      </rPr>
      <t xml:space="preserve">1
</t>
    </r>
    <r>
      <rPr>
        <b val="true"/>
        <sz val="10"/>
        <color rgb="FFFFFFFF"/>
        <rFont val="WenQuanYi Zen Hei"/>
        <family val="2"/>
      </rPr>
      <t xml:space="preserve">배운점</t>
    </r>
    <r>
      <rPr>
        <b val="true"/>
        <sz val="10"/>
        <color rgb="FFFFFFFF"/>
        <rFont val="맑은 고딕"/>
        <family val="0"/>
        <charset val="1"/>
      </rPr>
      <t xml:space="preserve">/</t>
    </r>
    <r>
      <rPr>
        <b val="true"/>
        <sz val="10"/>
        <color rgb="FFFFFFFF"/>
        <rFont val="WenQuanYi Zen Hei"/>
        <family val="2"/>
      </rPr>
      <t xml:space="preserve">성장</t>
    </r>
  </si>
  <si>
    <r>
      <rPr>
        <b val="true"/>
        <sz val="10"/>
        <color rgb="FFFFFFFF"/>
        <rFont val="WenQuanYi Zen Hei"/>
        <family val="2"/>
      </rPr>
      <t xml:space="preserve">활동</t>
    </r>
    <r>
      <rPr>
        <b val="true"/>
        <sz val="10"/>
        <color rgb="FFFFFFFF"/>
        <rFont val="맑은 고딕"/>
        <family val="0"/>
        <charset val="1"/>
      </rPr>
      <t xml:space="preserve">2
</t>
    </r>
    <r>
      <rPr>
        <b val="true"/>
        <sz val="10"/>
        <color rgb="FFFFFFFF"/>
        <rFont val="WenQuanYi Zen Hei"/>
        <family val="2"/>
      </rPr>
      <t xml:space="preserve">활동명</t>
    </r>
  </si>
  <si>
    <r>
      <rPr>
        <b val="true"/>
        <sz val="10"/>
        <color rgb="FFFFFFFF"/>
        <rFont val="WenQuanYi Zen Hei"/>
        <family val="2"/>
      </rPr>
      <t xml:space="preserve">활동</t>
    </r>
    <r>
      <rPr>
        <b val="true"/>
        <sz val="10"/>
        <color rgb="FFFFFFFF"/>
        <rFont val="맑은 고딕"/>
        <family val="0"/>
        <charset val="1"/>
      </rPr>
      <t xml:space="preserve">2
</t>
    </r>
    <r>
      <rPr>
        <b val="true"/>
        <sz val="10"/>
        <color rgb="FFFFFFFF"/>
        <rFont val="WenQuanYi Zen Hei"/>
        <family val="2"/>
      </rPr>
      <t xml:space="preserve">수행내용</t>
    </r>
  </si>
  <si>
    <r>
      <rPr>
        <b val="true"/>
        <sz val="10"/>
        <color rgb="FFFFFFFF"/>
        <rFont val="WenQuanYi Zen Hei"/>
        <family val="2"/>
      </rPr>
      <t xml:space="preserve">활동</t>
    </r>
    <r>
      <rPr>
        <b val="true"/>
        <sz val="10"/>
        <color rgb="FFFFFFFF"/>
        <rFont val="맑은 고딕"/>
        <family val="0"/>
        <charset val="1"/>
      </rPr>
      <t xml:space="preserve">2
</t>
    </r>
    <r>
      <rPr>
        <b val="true"/>
        <sz val="10"/>
        <color rgb="FFFFFFFF"/>
        <rFont val="WenQuanYi Zen Hei"/>
        <family val="2"/>
      </rPr>
      <t xml:space="preserve">배운점</t>
    </r>
    <r>
      <rPr>
        <b val="true"/>
        <sz val="10"/>
        <color rgb="FFFFFFFF"/>
        <rFont val="맑은 고딕"/>
        <family val="0"/>
        <charset val="1"/>
      </rPr>
      <t xml:space="preserve">/</t>
    </r>
    <r>
      <rPr>
        <b val="true"/>
        <sz val="10"/>
        <color rgb="FFFFFFFF"/>
        <rFont val="WenQuanYi Zen Hei"/>
        <family val="2"/>
      </rPr>
      <t xml:space="preserve">성장</t>
    </r>
  </si>
  <si>
    <r>
      <rPr>
        <b val="true"/>
        <sz val="10"/>
        <color rgb="FFFFFFFF"/>
        <rFont val="WenQuanYi Zen Hei"/>
        <family val="2"/>
      </rPr>
      <t xml:space="preserve">활동</t>
    </r>
    <r>
      <rPr>
        <b val="true"/>
        <sz val="10"/>
        <color rgb="FFFFFFFF"/>
        <rFont val="맑은 고딕"/>
        <family val="0"/>
        <charset val="1"/>
      </rPr>
      <t xml:space="preserve">3
</t>
    </r>
    <r>
      <rPr>
        <b val="true"/>
        <sz val="10"/>
        <color rgb="FFFFFFFF"/>
        <rFont val="WenQuanYi Zen Hei"/>
        <family val="2"/>
      </rPr>
      <t xml:space="preserve">활동명</t>
    </r>
  </si>
  <si>
    <r>
      <rPr>
        <b val="true"/>
        <sz val="10"/>
        <color rgb="FFFFFFFF"/>
        <rFont val="WenQuanYi Zen Hei"/>
        <family val="2"/>
      </rPr>
      <t xml:space="preserve">활동</t>
    </r>
    <r>
      <rPr>
        <b val="true"/>
        <sz val="10"/>
        <color rgb="FFFFFFFF"/>
        <rFont val="맑은 고딕"/>
        <family val="0"/>
        <charset val="1"/>
      </rPr>
      <t xml:space="preserve">3
</t>
    </r>
    <r>
      <rPr>
        <b val="true"/>
        <sz val="10"/>
        <color rgb="FFFFFFFF"/>
        <rFont val="WenQuanYi Zen Hei"/>
        <family val="2"/>
      </rPr>
      <t xml:space="preserve">수행내용</t>
    </r>
  </si>
  <si>
    <r>
      <rPr>
        <b val="true"/>
        <sz val="10"/>
        <color rgb="FFFFFFFF"/>
        <rFont val="WenQuanYi Zen Hei"/>
        <family val="2"/>
      </rPr>
      <t xml:space="preserve">활동</t>
    </r>
    <r>
      <rPr>
        <b val="true"/>
        <sz val="10"/>
        <color rgb="FFFFFFFF"/>
        <rFont val="맑은 고딕"/>
        <family val="0"/>
        <charset val="1"/>
      </rPr>
      <t xml:space="preserve">3
</t>
    </r>
    <r>
      <rPr>
        <b val="true"/>
        <sz val="10"/>
        <color rgb="FFFFFFFF"/>
        <rFont val="WenQuanYi Zen Hei"/>
        <family val="2"/>
      </rPr>
      <t xml:space="preserve">배운점</t>
    </r>
    <r>
      <rPr>
        <b val="true"/>
        <sz val="10"/>
        <color rgb="FFFFFFFF"/>
        <rFont val="맑은 고딕"/>
        <family val="0"/>
        <charset val="1"/>
      </rPr>
      <t xml:space="preserve">/</t>
    </r>
    <r>
      <rPr>
        <b val="true"/>
        <sz val="10"/>
        <color rgb="FFFFFFFF"/>
        <rFont val="WenQuanYi Zen Hei"/>
        <family val="2"/>
      </rPr>
      <t xml:space="preserve">성장</t>
    </r>
  </si>
  <si>
    <r>
      <rPr>
        <b val="true"/>
        <sz val="10"/>
        <color rgb="FFFFFFFF"/>
        <rFont val="WenQuanYi Zen Hei"/>
        <family val="2"/>
      </rPr>
      <t xml:space="preserve">마무리 강조문구
</t>
    </r>
    <r>
      <rPr>
        <b val="true"/>
        <sz val="10"/>
        <color rgb="FFFFFFFF"/>
        <rFont val="맑은 고딕"/>
        <family val="0"/>
        <charset val="1"/>
      </rPr>
      <t xml:space="preserve">(</t>
    </r>
    <r>
      <rPr>
        <b val="true"/>
        <sz val="10"/>
        <color rgb="FFFFFFFF"/>
        <rFont val="WenQuanYi Zen Hei"/>
        <family val="2"/>
      </rPr>
      <t xml:space="preserve">선택</t>
    </r>
    <r>
      <rPr>
        <b val="true"/>
        <sz val="10"/>
        <color rgb="FFFFFFFF"/>
        <rFont val="맑은 고딕"/>
        <family val="0"/>
        <charset val="1"/>
      </rPr>
      <t xml:space="preserve">)</t>
    </r>
  </si>
  <si>
    <r>
      <rPr>
        <b val="true"/>
        <sz val="10"/>
        <color rgb="FFFFFFFF"/>
        <rFont val="WenQuanYi Zen Hei"/>
        <family val="2"/>
      </rPr>
      <t xml:space="preserve">세특 초안 </t>
    </r>
    <r>
      <rPr>
        <b val="true"/>
        <sz val="10"/>
        <color rgb="FFFFFFFF"/>
        <rFont val="맑은 고딕"/>
        <family val="0"/>
        <charset val="1"/>
      </rPr>
      <t xml:space="preserve">(</t>
    </r>
    <r>
      <rPr>
        <b val="true"/>
        <sz val="10"/>
        <color rgb="FFFFFFFF"/>
        <rFont val="WenQuanYi Zen Hei"/>
        <family val="2"/>
      </rPr>
      <t xml:space="preserve">자동 생성</t>
    </r>
    <r>
      <rPr>
        <b val="true"/>
        <sz val="10"/>
        <color rgb="FFFFFFFF"/>
        <rFont val="맑은 고딕"/>
        <family val="0"/>
        <charset val="1"/>
      </rPr>
      <t xml:space="preserve">)</t>
    </r>
  </si>
  <si>
    <t xml:space="preserve">글자수</t>
  </si>
  <si>
    <t xml:space="preserve">상태</t>
  </si>
  <si>
    <t xml:space="preserve">홍길동</t>
  </si>
  <si>
    <r>
      <rPr>
        <sz val="10"/>
        <rFont val="맑은 고딕"/>
        <family val="0"/>
        <charset val="1"/>
      </rPr>
      <t xml:space="preserve">2</t>
    </r>
    <r>
      <rPr>
        <sz val="10"/>
        <rFont val="WenQuanYi Zen Hei"/>
        <family val="2"/>
      </rPr>
      <t xml:space="preserve">학년 </t>
    </r>
    <r>
      <rPr>
        <sz val="10"/>
        <rFont val="맑은 고딕"/>
        <family val="0"/>
        <charset val="1"/>
      </rPr>
      <t xml:space="preserve">3</t>
    </r>
    <r>
      <rPr>
        <sz val="10"/>
        <rFont val="WenQuanYi Zen Hei"/>
        <family val="2"/>
      </rPr>
      <t xml:space="preserve">반 </t>
    </r>
    <r>
      <rPr>
        <sz val="10"/>
        <rFont val="맑은 고딕"/>
        <family val="0"/>
        <charset val="1"/>
      </rPr>
      <t xml:space="preserve">15</t>
    </r>
    <r>
      <rPr>
        <sz val="10"/>
        <rFont val="WenQuanYi Zen Hei"/>
        <family val="2"/>
      </rPr>
      <t xml:space="preserve">번</t>
    </r>
  </si>
  <si>
    <t xml:space="preserve">과학</t>
  </si>
  <si>
    <t xml:space="preserve">광합성 실험 탐구</t>
  </si>
  <si>
    <t xml:space="preserve">빛의 세기에 따른 산소 발생량을 측정하는 실험을 설계</t>
  </si>
  <si>
    <t xml:space="preserve">정량적 데이터 분석 능력과 협업 태도</t>
  </si>
  <si>
    <t xml:space="preserve">탐구보고서 작성</t>
  </si>
  <si>
    <t xml:space="preserve">실험 결과를 그래프로 정리하여 발표 자료를 제작</t>
  </si>
  <si>
    <t xml:space="preserve">논리적으로 결론을 도출하는 과정</t>
  </si>
  <si>
    <t xml:space="preserve">과학적 탐구에 대한 높은 흥미와 성실한 태도가 돋보임</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</si>
</sst>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4E78"/>
      <name val="WenQuanYi Zen Hei"/>
      <family val="2"/>
    </font>
    <font>
      <b val="true"/>
      <sz val="16"/>
      <color rgb="FF1F4E78"/>
      <name val="맑은 고딕"/>
      <family val="0"/>
      <charset val="1"/>
    </font>
    <font>
      <sz val="11"/>
      <name val="맑은 고딕"/>
      <family val="0"/>
      <charset val="1"/>
    </font>
    <font>
      <sz val="11"/>
      <name val="WenQuanYi Zen Hei"/>
      <family val="2"/>
    </font>
    <font>
      <b val="true"/>
      <sz val="12"/>
      <color rgb="FF1F4E78"/>
      <name val="WenQuanYi Zen Hei"/>
      <family val="2"/>
    </font>
    <font>
      <i val="true"/>
      <sz val="10"/>
      <color rgb="FF808080"/>
      <name val="맑은 고딕"/>
      <family val="0"/>
      <charset val="1"/>
    </font>
    <font>
      <i val="true"/>
      <sz val="10"/>
      <color rgb="FF808080"/>
      <name val="WenQuanYi Zen Hei"/>
      <family val="2"/>
    </font>
    <font>
      <b val="true"/>
      <sz val="10"/>
      <name val="WenQuanYi Zen Hei"/>
      <family val="2"/>
    </font>
    <font>
      <b val="true"/>
      <sz val="10"/>
      <name val="맑은 고딕"/>
      <family val="0"/>
      <charset val="1"/>
    </font>
    <font>
      <b val="true"/>
      <sz val="10"/>
      <color rgb="FFFFFFFF"/>
      <name val="WenQuanYi Zen Hei"/>
      <family val="2"/>
    </font>
    <font>
      <b val="true"/>
      <sz val="10"/>
      <color rgb="FFFFFFFF"/>
      <name val="맑은 고딕"/>
      <family val="0"/>
      <charset val="1"/>
    </font>
    <font>
      <sz val="10"/>
      <name val="맑은 고딕"/>
      <family val="0"/>
      <charset val="1"/>
    </font>
    <font>
      <sz val="10"/>
      <name val="WenQuanYi Zen Hei"/>
      <family val="2"/>
    </font>
    <font>
      <sz val="10"/>
      <name val="Arial"/>
      <family val="2"/>
    </font>
  </fonts>
  <fills count="5">
    <fill>
      <patternFill patternType="none"/>
    </fill>
    <fill>
      <patternFill patternType="gray125"/>
    </fill>
    <fill>
      <patternFill patternType="solid">
        <fgColor rgb="FFFFF2CC"/>
        <bgColor rgb="FFF2F2F2"/>
      </patternFill>
    </fill>
    <fill>
      <patternFill patternType="solid">
        <fgColor rgb="FF1F4E78"/>
        <bgColor rgb="FF00336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5" fontId="15" fillId="4" borderId="1" xfId="0" applyFont="true" applyBorder="true" applyAlignment="true" applyProtection="false">
      <alignment horizontal="center" vertical="center" textRotation="0" wrapText="true" indent="0" shrinkToFit="false"/>
      <protection locked="true" hidden="false"/>
    </xf>
    <xf numFmtId="164" fontId="16" fillId="2" borderId="1" xfId="0" applyFont="true" applyBorder="true" applyAlignment="true" applyProtection="false">
      <alignment horizontal="left" vertical="top" textRotation="0" wrapText="true" indent="0" shrinkToFit="false"/>
      <protection locked="true" hidden="false"/>
    </xf>
    <xf numFmtId="164" fontId="15" fillId="2" borderId="1" xfId="0" applyFont="true" applyBorder="true" applyAlignment="true" applyProtection="false">
      <alignment horizontal="left" vertical="top" textRotation="0" wrapText="true" indent="0" shrinkToFit="false"/>
      <protection locked="true" hidden="false"/>
    </xf>
    <xf numFmtId="164" fontId="15" fillId="4" borderId="1" xfId="0" applyFont="true" applyBorder="true" applyAlignment="true" applyProtection="false">
      <alignment horizontal="left" vertical="top"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맑은 고딕"/>
        <charset val="1"/>
        <family val="0"/>
        <color rgb="FF006100"/>
        <sz val="10"/>
      </font>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5"/>
  </cols>
  <sheetData>
    <row r="1" customFormat="false" ht="30" hidden="false" customHeight="true" outlineLevel="0" collapsed="false">
      <c r="A1" s="1" t="s">
        <v>0</v>
      </c>
    </row>
    <row r="2" customFormat="false" ht="13.5" hidden="false" customHeight="true" outlineLevel="0" collapsed="false">
      <c r="A2" s="2"/>
    </row>
    <row r="3" customFormat="false" ht="18" hidden="false" customHeight="true" outlineLevel="0" collapsed="false">
      <c r="A3" s="3" t="s">
        <v>1</v>
      </c>
    </row>
    <row r="4" customFormat="false" ht="18" hidden="false" customHeight="true" outlineLevel="0" collapsed="false">
      <c r="A4" s="3" t="s">
        <v>2</v>
      </c>
    </row>
    <row r="5" customFormat="false" ht="9.75" hidden="false" customHeight="true" outlineLevel="0" collapsed="false">
      <c r="A5" s="2"/>
    </row>
    <row r="6" customFormat="false" ht="19.5" hidden="false" customHeight="true" outlineLevel="0" collapsed="false">
      <c r="A6" s="4" t="s">
        <v>3</v>
      </c>
    </row>
    <row r="7" customFormat="false" ht="18" hidden="false" customHeight="true" outlineLevel="0" collapsed="false">
      <c r="A7" s="2" t="s">
        <v>4</v>
      </c>
    </row>
    <row r="8" customFormat="false" ht="18" hidden="false" customHeight="true" outlineLevel="0" collapsed="false">
      <c r="A8" s="3" t="s">
        <v>5</v>
      </c>
    </row>
    <row r="9" customFormat="false" ht="18" hidden="false" customHeight="true" outlineLevel="0" collapsed="false">
      <c r="A9" s="3" t="s">
        <v>6</v>
      </c>
    </row>
    <row r="10" customFormat="false" ht="18" hidden="false" customHeight="true" outlineLevel="0" collapsed="false">
      <c r="A10" s="2" t="s">
        <v>7</v>
      </c>
    </row>
    <row r="11" customFormat="false" ht="18" hidden="false" customHeight="true" outlineLevel="0" collapsed="false">
      <c r="A11" s="2" t="s">
        <v>8</v>
      </c>
    </row>
    <row r="12" customFormat="false" ht="18" hidden="false" customHeight="true" outlineLevel="0" collapsed="false">
      <c r="A12" s="2" t="s">
        <v>9</v>
      </c>
    </row>
    <row r="13" customFormat="false" ht="18" hidden="false" customHeight="true" outlineLevel="0" collapsed="false">
      <c r="A13" s="2" t="s">
        <v>10</v>
      </c>
    </row>
    <row r="14" customFormat="false" ht="18" hidden="false" customHeight="true" outlineLevel="0" collapsed="false">
      <c r="A14" s="2" t="s">
        <v>11</v>
      </c>
    </row>
    <row r="15" customFormat="false" ht="9.75" hidden="false" customHeight="true" outlineLevel="0" collapsed="false">
      <c r="A15" s="2"/>
    </row>
    <row r="16" customFormat="false" ht="19.5" hidden="false" customHeight="true" outlineLevel="0" collapsed="false">
      <c r="A16" s="4" t="s">
        <v>12</v>
      </c>
    </row>
    <row r="17" customFormat="false" ht="18" hidden="false" customHeight="true" outlineLevel="0" collapsed="false">
      <c r="A17" s="3" t="s">
        <v>13</v>
      </c>
    </row>
    <row r="18" customFormat="false" ht="18" hidden="false" customHeight="true" outlineLevel="0" collapsed="false">
      <c r="A18" s="3" t="s">
        <v>14</v>
      </c>
    </row>
    <row r="19" customFormat="false" ht="9.75" hidden="false" customHeight="true" outlineLevel="0" collapsed="false">
      <c r="A19" s="2"/>
    </row>
    <row r="20" customFormat="false" ht="15.75" hidden="false" customHeight="true" outlineLevel="0" collapsed="false">
      <c r="A20" s="5" t="s">
        <v>15</v>
      </c>
    </row>
    <row r="21" customFormat="false" ht="15.75" hidden="false" customHeight="true" outlineLevel="0" collapsed="false">
      <c r="A21" s="5" t="s">
        <v>16</v>
      </c>
    </row>
    <row r="22" customFormat="false" ht="15.75" hidden="false" customHeight="true" outlineLevel="0" collapsed="false">
      <c r="A22" s="6"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13"/>
    <col collapsed="false" customWidth="true" hidden="false" outlineLevel="0" max="4" min="4" style="0" width="12"/>
    <col collapsed="false" customWidth="true" hidden="false" outlineLevel="0" max="5" min="5" style="0" width="16"/>
    <col collapsed="false" customWidth="true" hidden="false" outlineLevel="0" max="7" min="6" style="0" width="22"/>
    <col collapsed="false" customWidth="true" hidden="false" outlineLevel="0" max="8" min="8" style="0" width="16"/>
    <col collapsed="false" customWidth="true" hidden="false" outlineLevel="0" max="10" min="9" style="0" width="22"/>
    <col collapsed="false" customWidth="true" hidden="false" outlineLevel="0" max="11" min="11" style="0" width="16"/>
    <col collapsed="false" customWidth="true" hidden="false" outlineLevel="0" max="13" min="12" style="0" width="22"/>
    <col collapsed="false" customWidth="true" hidden="false" outlineLevel="0" max="14" min="14" style="0" width="20"/>
    <col collapsed="false" customWidth="true" hidden="false" outlineLevel="0" max="15" min="15" style="0" width="55"/>
    <col collapsed="false" customWidth="true" hidden="false" outlineLevel="0" max="16" min="16" style="0" width="8"/>
    <col collapsed="false" customWidth="true" hidden="false" outlineLevel="0" max="17" min="17" style="0" width="12"/>
  </cols>
  <sheetData>
    <row r="1" customFormat="false" ht="15" hidden="false" customHeight="false" outlineLevel="0" collapsed="false">
      <c r="A1" s="7" t="s">
        <v>18</v>
      </c>
      <c r="B1" s="8" t="n">
        <v>800</v>
      </c>
      <c r="C1" s="9" t="s">
        <v>19</v>
      </c>
    </row>
    <row r="3" customFormat="false" ht="30" hidden="false" customHeight="true" outlineLevel="0" collapsed="false">
      <c r="A3" s="10" t="s">
        <v>20</v>
      </c>
      <c r="B3" s="10" t="s">
        <v>21</v>
      </c>
      <c r="C3" s="10" t="s">
        <v>22</v>
      </c>
      <c r="D3" s="10" t="s">
        <v>23</v>
      </c>
      <c r="E3" s="10" t="s">
        <v>24</v>
      </c>
      <c r="F3" s="10" t="s">
        <v>25</v>
      </c>
      <c r="G3" s="10" t="s">
        <v>26</v>
      </c>
      <c r="H3" s="10" t="s">
        <v>27</v>
      </c>
      <c r="I3" s="10" t="s">
        <v>28</v>
      </c>
      <c r="J3" s="10" t="s">
        <v>29</v>
      </c>
      <c r="K3" s="10" t="s">
        <v>30</v>
      </c>
      <c r="L3" s="10" t="s">
        <v>31</v>
      </c>
      <c r="M3" s="10" t="s">
        <v>32</v>
      </c>
      <c r="N3" s="10" t="s">
        <v>33</v>
      </c>
      <c r="O3" s="10" t="s">
        <v>34</v>
      </c>
      <c r="P3" s="10" t="s">
        <v>35</v>
      </c>
      <c r="Q3" s="10" t="s">
        <v>36</v>
      </c>
    </row>
    <row r="4" customFormat="false" ht="18" hidden="false" customHeight="true" outlineLevel="0" collapsed="false">
      <c r="A4" s="11" t="n">
        <f aca="false">IF(B4="","",ROW()-3)</f>
        <v>1</v>
      </c>
      <c r="B4" s="12" t="s">
        <v>37</v>
      </c>
      <c r="C4" s="13" t="s">
        <v>38</v>
      </c>
      <c r="D4" s="12" t="s">
        <v>39</v>
      </c>
      <c r="E4" s="12" t="s">
        <v>40</v>
      </c>
      <c r="F4" s="12" t="s">
        <v>41</v>
      </c>
      <c r="G4" s="12" t="s">
        <v>42</v>
      </c>
      <c r="H4" s="12" t="s">
        <v>43</v>
      </c>
      <c r="I4" s="12" t="s">
        <v>44</v>
      </c>
      <c r="J4" s="12" t="s">
        <v>45</v>
      </c>
      <c r="K4" s="13"/>
      <c r="L4" s="13"/>
      <c r="M4" s="13"/>
      <c r="N4" s="12" t="s">
        <v>46</v>
      </c>
      <c r="O4" s="14" t="str">
        <f aca="false">IF($B4="","",_xlfn.TEXTJOIN(" ",TRUE(),IF($E4&lt;&gt;"","'"&amp;$E4&amp;"' 활동에 참여하여 "&amp;$F4&amp;"을(를) 수행함."&amp;IF($G4&lt;&gt;""," "&amp;$G4&amp;"을(를) 보임.",""),""),IF($H4&lt;&gt;"","'"&amp;$H4&amp;"' 활동에서 "&amp;$I4&amp;"을(를) 수행함."&amp;IF($J4&lt;&gt;""," "&amp;$J4&amp;"을(를) 보임.",""),""),IF($K4&lt;&gt;"","'"&amp;$K4&amp;"' 활동을 통해 "&amp;$L4&amp;"을(를) 수행함."&amp;IF($M4&lt;&gt;""," "&amp;$M4&amp;"을(를) 보임.",""),""),$N4))</f>
        <v>'광합성 실험 탐구' 활동에 참여하여 빛의 세기에 따른 산소 발생량을 측정하는 실험을 설계을(를) 수행함. 정량적 데이터 분석 능력과 협업 태도을(를) 보임. '탐구보고서 작성' 활동에서 실험 결과를 그래프로 정리하여 발표 자료를 제작을(를) 수행함. 논리적으로 결론을 도출하는 과정을(를) 보임. 과학적 탐구에 대한 높은 흥미와 성실한 태도가 돋보임</v>
      </c>
      <c r="P4" s="11" t="n">
        <f aca="false">IF(O4="","",LEN(O4))</f>
        <v>196</v>
      </c>
      <c r="Q4" s="15" t="str">
        <f aca="false">IF(O4="","-",IF(P4&gt;$B$1,"초과 (+"&amp;(P4-$B$1)&amp;"자)",IF(P4&lt;$B$1*0.5,"너무 짧음","적정")))</f>
        <v>너무 짧음</v>
      </c>
    </row>
    <row r="5" customFormat="false" ht="18" hidden="false" customHeight="true" outlineLevel="0" collapsed="false">
      <c r="A5" s="11" t="str">
        <f aca="false">IF(B5="","",ROW()-3)</f>
        <v/>
      </c>
      <c r="B5" s="13"/>
      <c r="C5" s="13"/>
      <c r="D5" s="12"/>
      <c r="E5" s="13"/>
      <c r="F5" s="13"/>
      <c r="G5" s="13"/>
      <c r="H5" s="13"/>
      <c r="I5" s="13"/>
      <c r="J5" s="13"/>
      <c r="K5" s="13"/>
      <c r="L5" s="13"/>
      <c r="M5" s="13"/>
      <c r="N5" s="13"/>
      <c r="O5" s="14" t="str">
        <f aca="false">IF($B5="","",_xlfn.TEXTJOIN(" ",TRUE(),IF($E5&lt;&gt;"","'"&amp;$E5&amp;"' 활동에 참여하여 "&amp;$F5&amp;"을(를) 수행함."&amp;IF($G5&lt;&gt;""," "&amp;$G5&amp;"을(를) 보임.",""),""),IF($H5&lt;&gt;"","'"&amp;$H5&amp;"' 활동에서 "&amp;$I5&amp;"을(를) 수행함."&amp;IF($J5&lt;&gt;""," "&amp;$J5&amp;"을(를) 보임.",""),""),IF($K5&lt;&gt;"","'"&amp;$K5&amp;"' 활동을 통해 "&amp;$L5&amp;"을(를) 수행함."&amp;IF($M5&lt;&gt;""," "&amp;$M5&amp;"을(를) 보임.",""),""),$N5))</f>
        <v/>
      </c>
      <c r="P5" s="11" t="str">
        <f aca="false">IF(O5="","",LEN(O5))</f>
        <v/>
      </c>
      <c r="Q5" s="15" t="str">
        <f aca="false">IF(O5="","-",IF(P5&gt;$B$1,"초과 (+"&amp;(P5-$B$1)&amp;"자)",IF(P5&lt;$B$1*0.5,"너무 짧음","적정")))</f>
        <v>-</v>
      </c>
    </row>
    <row r="6" customFormat="false" ht="18" hidden="false" customHeight="true" outlineLevel="0" collapsed="false">
      <c r="A6" s="11" t="str">
        <f aca="false">IF(B6="","",ROW()-3)</f>
        <v/>
      </c>
      <c r="B6" s="13"/>
      <c r="C6" s="13"/>
      <c r="D6" s="12"/>
      <c r="E6" s="13"/>
      <c r="F6" s="13"/>
      <c r="G6" s="13"/>
      <c r="H6" s="13"/>
      <c r="I6" s="13"/>
      <c r="J6" s="13"/>
      <c r="K6" s="13"/>
      <c r="L6" s="13"/>
      <c r="M6" s="13"/>
      <c r="N6" s="13"/>
      <c r="O6" s="14" t="str">
        <f aca="false">IF($B6="","",_xlfn.TEXTJOIN(" ",TRUE(),IF($E6&lt;&gt;"","'"&amp;$E6&amp;"' 활동에 참여하여 "&amp;$F6&amp;"을(를) 수행함."&amp;IF($G6&lt;&gt;""," "&amp;$G6&amp;"을(를) 보임.",""),""),IF($H6&lt;&gt;"","'"&amp;$H6&amp;"' 활동에서 "&amp;$I6&amp;"을(를) 수행함."&amp;IF($J6&lt;&gt;""," "&amp;$J6&amp;"을(를) 보임.",""),""),IF($K6&lt;&gt;"","'"&amp;$K6&amp;"' 활동을 통해 "&amp;$L6&amp;"을(를) 수행함."&amp;IF($M6&lt;&gt;""," "&amp;$M6&amp;"을(를) 보임.",""),""),$N6))</f>
        <v/>
      </c>
      <c r="P6" s="11" t="str">
        <f aca="false">IF(O6="","",LEN(O6))</f>
        <v/>
      </c>
      <c r="Q6" s="15" t="str">
        <f aca="false">IF(O6="","-",IF(P6&gt;$B$1,"초과 (+"&amp;(P6-$B$1)&amp;"자)",IF(P6&lt;$B$1*0.5,"너무 짧음","적정")))</f>
        <v>-</v>
      </c>
    </row>
    <row r="7" customFormat="false" ht="18" hidden="false" customHeight="true" outlineLevel="0" collapsed="false">
      <c r="A7" s="11" t="str">
        <f aca="false">IF(B7="","",ROW()-3)</f>
        <v/>
      </c>
      <c r="B7" s="13"/>
      <c r="C7" s="13"/>
      <c r="D7" s="12"/>
      <c r="E7" s="13"/>
      <c r="F7" s="13"/>
      <c r="G7" s="13"/>
      <c r="H7" s="13"/>
      <c r="I7" s="13"/>
      <c r="J7" s="13"/>
      <c r="K7" s="13"/>
      <c r="L7" s="13"/>
      <c r="M7" s="13"/>
      <c r="N7" s="13"/>
      <c r="O7" s="14" t="str">
        <f aca="false">IF($B7="","",_xlfn.TEXTJOIN(" ",TRUE(),IF($E7&lt;&gt;"","'"&amp;$E7&amp;"' 활동에 참여하여 "&amp;$F7&amp;"을(를) 수행함."&amp;IF($G7&lt;&gt;""," "&amp;$G7&amp;"을(를) 보임.",""),""),IF($H7&lt;&gt;"","'"&amp;$H7&amp;"' 활동에서 "&amp;$I7&amp;"을(를) 수행함."&amp;IF($J7&lt;&gt;""," "&amp;$J7&amp;"을(를) 보임.",""),""),IF($K7&lt;&gt;"","'"&amp;$K7&amp;"' 활동을 통해 "&amp;$L7&amp;"을(를) 수행함."&amp;IF($M7&lt;&gt;""," "&amp;$M7&amp;"을(를) 보임.",""),""),$N7))</f>
        <v/>
      </c>
      <c r="P7" s="11" t="str">
        <f aca="false">IF(O7="","",LEN(O7))</f>
        <v/>
      </c>
      <c r="Q7" s="15" t="str">
        <f aca="false">IF(O7="","-",IF(P7&gt;$B$1,"초과 (+"&amp;(P7-$B$1)&amp;"자)",IF(P7&lt;$B$1*0.5,"너무 짧음","적정")))</f>
        <v>-</v>
      </c>
    </row>
    <row r="8" customFormat="false" ht="18" hidden="false" customHeight="true" outlineLevel="0" collapsed="false">
      <c r="A8" s="11" t="str">
        <f aca="false">IF(B8="","",ROW()-3)</f>
        <v/>
      </c>
      <c r="B8" s="13"/>
      <c r="C8" s="13"/>
      <c r="D8" s="12"/>
      <c r="E8" s="13"/>
      <c r="F8" s="13"/>
      <c r="G8" s="13"/>
      <c r="H8" s="13"/>
      <c r="I8" s="13"/>
      <c r="J8" s="13"/>
      <c r="K8" s="13"/>
      <c r="L8" s="13"/>
      <c r="M8" s="13"/>
      <c r="N8" s="13"/>
      <c r="O8" s="14" t="str">
        <f aca="false">IF($B8="","",_xlfn.TEXTJOIN(" ",TRUE(),IF($E8&lt;&gt;"","'"&amp;$E8&amp;"' 활동에 참여하여 "&amp;$F8&amp;"을(를) 수행함."&amp;IF($G8&lt;&gt;""," "&amp;$G8&amp;"을(를) 보임.",""),""),IF($H8&lt;&gt;"","'"&amp;$H8&amp;"' 활동에서 "&amp;$I8&amp;"을(를) 수행함."&amp;IF($J8&lt;&gt;""," "&amp;$J8&amp;"을(를) 보임.",""),""),IF($K8&lt;&gt;"","'"&amp;$K8&amp;"' 활동을 통해 "&amp;$L8&amp;"을(를) 수행함."&amp;IF($M8&lt;&gt;""," "&amp;$M8&amp;"을(를) 보임.",""),""),$N8))</f>
        <v/>
      </c>
      <c r="P8" s="11" t="str">
        <f aca="false">IF(O8="","",LEN(O8))</f>
        <v/>
      </c>
      <c r="Q8" s="15" t="str">
        <f aca="false">IF(O8="","-",IF(P8&gt;$B$1,"초과 (+"&amp;(P8-$B$1)&amp;"자)",IF(P8&lt;$B$1*0.5,"너무 짧음","적정")))</f>
        <v>-</v>
      </c>
    </row>
    <row r="9" customFormat="false" ht="18" hidden="false" customHeight="true" outlineLevel="0" collapsed="false">
      <c r="A9" s="11" t="str">
        <f aca="false">IF(B9="","",ROW()-3)</f>
        <v/>
      </c>
      <c r="B9" s="13"/>
      <c r="C9" s="13"/>
      <c r="D9" s="12"/>
      <c r="E9" s="13"/>
      <c r="F9" s="13"/>
      <c r="G9" s="13"/>
      <c r="H9" s="13"/>
      <c r="I9" s="13"/>
      <c r="J9" s="13"/>
      <c r="K9" s="13"/>
      <c r="L9" s="13"/>
      <c r="M9" s="13"/>
      <c r="N9" s="13"/>
      <c r="O9" s="14" t="str">
        <f aca="false">IF($B9="","",_xlfn.TEXTJOIN(" ",TRUE(),IF($E9&lt;&gt;"","'"&amp;$E9&amp;"' 활동에 참여하여 "&amp;$F9&amp;"을(를) 수행함."&amp;IF($G9&lt;&gt;""," "&amp;$G9&amp;"을(를) 보임.",""),""),IF($H9&lt;&gt;"","'"&amp;$H9&amp;"' 활동에서 "&amp;$I9&amp;"을(를) 수행함."&amp;IF($J9&lt;&gt;""," "&amp;$J9&amp;"을(를) 보임.",""),""),IF($K9&lt;&gt;"","'"&amp;$K9&amp;"' 활동을 통해 "&amp;$L9&amp;"을(를) 수행함."&amp;IF($M9&lt;&gt;""," "&amp;$M9&amp;"을(를) 보임.",""),""),$N9))</f>
        <v/>
      </c>
      <c r="P9" s="11" t="str">
        <f aca="false">IF(O9="","",LEN(O9))</f>
        <v/>
      </c>
      <c r="Q9" s="15" t="str">
        <f aca="false">IF(O9="","-",IF(P9&gt;$B$1,"초과 (+"&amp;(P9-$B$1)&amp;"자)",IF(P9&lt;$B$1*0.5,"너무 짧음","적정")))</f>
        <v>-</v>
      </c>
    </row>
    <row r="10" customFormat="false" ht="18" hidden="false" customHeight="true" outlineLevel="0" collapsed="false">
      <c r="A10" s="11" t="str">
        <f aca="false">IF(B10="","",ROW()-3)</f>
        <v/>
      </c>
      <c r="B10" s="13"/>
      <c r="C10" s="13"/>
      <c r="D10" s="12"/>
      <c r="E10" s="13"/>
      <c r="F10" s="13"/>
      <c r="G10" s="13"/>
      <c r="H10" s="13"/>
      <c r="I10" s="13"/>
      <c r="J10" s="13"/>
      <c r="K10" s="13"/>
      <c r="L10" s="13"/>
      <c r="M10" s="13"/>
      <c r="N10" s="13"/>
      <c r="O10" s="14" t="str">
        <f aca="false">IF($B10="","",_xlfn.TEXTJOIN(" ",TRUE(),IF($E10&lt;&gt;"","'"&amp;$E10&amp;"' 활동에 참여하여 "&amp;$F10&amp;"을(를) 수행함."&amp;IF($G10&lt;&gt;""," "&amp;$G10&amp;"을(를) 보임.",""),""),IF($H10&lt;&gt;"","'"&amp;$H10&amp;"' 활동에서 "&amp;$I10&amp;"을(를) 수행함."&amp;IF($J10&lt;&gt;""," "&amp;$J10&amp;"을(를) 보임.",""),""),IF($K10&lt;&gt;"","'"&amp;$K10&amp;"' 활동을 통해 "&amp;$L10&amp;"을(를) 수행함."&amp;IF($M10&lt;&gt;""," "&amp;$M10&amp;"을(를) 보임.",""),""),$N10))</f>
        <v/>
      </c>
      <c r="P10" s="11" t="str">
        <f aca="false">IF(O10="","",LEN(O10))</f>
        <v/>
      </c>
      <c r="Q10" s="15" t="str">
        <f aca="false">IF(O10="","-",IF(P10&gt;$B$1,"초과 (+"&amp;(P10-$B$1)&amp;"자)",IF(P10&lt;$B$1*0.5,"너무 짧음","적정")))</f>
        <v>-</v>
      </c>
    </row>
    <row r="11" customFormat="false" ht="18" hidden="false" customHeight="true" outlineLevel="0" collapsed="false">
      <c r="A11" s="11" t="str">
        <f aca="false">IF(B11="","",ROW()-3)</f>
        <v/>
      </c>
      <c r="B11" s="13"/>
      <c r="C11" s="13"/>
      <c r="D11" s="12"/>
      <c r="E11" s="13"/>
      <c r="F11" s="13"/>
      <c r="G11" s="13"/>
      <c r="H11" s="13"/>
      <c r="I11" s="13"/>
      <c r="J11" s="13"/>
      <c r="K11" s="13"/>
      <c r="L11" s="13"/>
      <c r="M11" s="13"/>
      <c r="N11" s="13"/>
      <c r="O11" s="14" t="str">
        <f aca="false">IF($B11="","",_xlfn.TEXTJOIN(" ",TRUE(),IF($E11&lt;&gt;"","'"&amp;$E11&amp;"' 활동에 참여하여 "&amp;$F11&amp;"을(를) 수행함."&amp;IF($G11&lt;&gt;""," "&amp;$G11&amp;"을(를) 보임.",""),""),IF($H11&lt;&gt;"","'"&amp;$H11&amp;"' 활동에서 "&amp;$I11&amp;"을(를) 수행함."&amp;IF($J11&lt;&gt;""," "&amp;$J11&amp;"을(를) 보임.",""),""),IF($K11&lt;&gt;"","'"&amp;$K11&amp;"' 활동을 통해 "&amp;$L11&amp;"을(를) 수행함."&amp;IF($M11&lt;&gt;""," "&amp;$M11&amp;"을(를) 보임.",""),""),$N11))</f>
        <v/>
      </c>
      <c r="P11" s="11" t="str">
        <f aca="false">IF(O11="","",LEN(O11))</f>
        <v/>
      </c>
      <c r="Q11" s="15" t="str">
        <f aca="false">IF(O11="","-",IF(P11&gt;$B$1,"초과 (+"&amp;(P11-$B$1)&amp;"자)",IF(P11&lt;$B$1*0.5,"너무 짧음","적정")))</f>
        <v>-</v>
      </c>
    </row>
    <row r="12" customFormat="false" ht="18" hidden="false" customHeight="true" outlineLevel="0" collapsed="false">
      <c r="A12" s="11" t="str">
        <f aca="false">IF(B12="","",ROW()-3)</f>
        <v/>
      </c>
      <c r="B12" s="13"/>
      <c r="C12" s="13"/>
      <c r="D12" s="12"/>
      <c r="E12" s="13"/>
      <c r="F12" s="13"/>
      <c r="G12" s="13"/>
      <c r="H12" s="13"/>
      <c r="I12" s="13"/>
      <c r="J12" s="13"/>
      <c r="K12" s="13"/>
      <c r="L12" s="13"/>
      <c r="M12" s="13"/>
      <c r="N12" s="13"/>
      <c r="O12" s="14" t="str">
        <f aca="false">IF($B12="","",_xlfn.TEXTJOIN(" ",TRUE(),IF($E12&lt;&gt;"","'"&amp;$E12&amp;"' 활동에 참여하여 "&amp;$F12&amp;"을(를) 수행함."&amp;IF($G12&lt;&gt;""," "&amp;$G12&amp;"을(를) 보임.",""),""),IF($H12&lt;&gt;"","'"&amp;$H12&amp;"' 활동에서 "&amp;$I12&amp;"을(를) 수행함."&amp;IF($J12&lt;&gt;""," "&amp;$J12&amp;"을(를) 보임.",""),""),IF($K12&lt;&gt;"","'"&amp;$K12&amp;"' 활동을 통해 "&amp;$L12&amp;"을(를) 수행함."&amp;IF($M12&lt;&gt;""," "&amp;$M12&amp;"을(를) 보임.",""),""),$N12))</f>
        <v/>
      </c>
      <c r="P12" s="11" t="str">
        <f aca="false">IF(O12="","",LEN(O12))</f>
        <v/>
      </c>
      <c r="Q12" s="15" t="str">
        <f aca="false">IF(O12="","-",IF(P12&gt;$B$1,"초과 (+"&amp;(P12-$B$1)&amp;"자)",IF(P12&lt;$B$1*0.5,"너무 짧음","적정")))</f>
        <v>-</v>
      </c>
    </row>
    <row r="13" customFormat="false" ht="18" hidden="false" customHeight="true" outlineLevel="0" collapsed="false">
      <c r="A13" s="11" t="str">
        <f aca="false">IF(B13="","",ROW()-3)</f>
        <v/>
      </c>
      <c r="B13" s="13"/>
      <c r="C13" s="13"/>
      <c r="D13" s="12"/>
      <c r="E13" s="13"/>
      <c r="F13" s="13"/>
      <c r="G13" s="13"/>
      <c r="H13" s="13"/>
      <c r="I13" s="13"/>
      <c r="J13" s="13"/>
      <c r="K13" s="13"/>
      <c r="L13" s="13"/>
      <c r="M13" s="13"/>
      <c r="N13" s="13"/>
      <c r="O13" s="14" t="str">
        <f aca="false">IF($B13="","",_xlfn.TEXTJOIN(" ",TRUE(),IF($E13&lt;&gt;"","'"&amp;$E13&amp;"' 활동에 참여하여 "&amp;$F13&amp;"을(를) 수행함."&amp;IF($G13&lt;&gt;""," "&amp;$G13&amp;"을(를) 보임.",""),""),IF($H13&lt;&gt;"","'"&amp;$H13&amp;"' 활동에서 "&amp;$I13&amp;"을(를) 수행함."&amp;IF($J13&lt;&gt;""," "&amp;$J13&amp;"을(를) 보임.",""),""),IF($K13&lt;&gt;"","'"&amp;$K13&amp;"' 활동을 통해 "&amp;$L13&amp;"을(를) 수행함."&amp;IF($M13&lt;&gt;""," "&amp;$M13&amp;"을(를) 보임.",""),""),$N13))</f>
        <v/>
      </c>
      <c r="P13" s="11" t="str">
        <f aca="false">IF(O13="","",LEN(O13))</f>
        <v/>
      </c>
      <c r="Q13" s="15" t="str">
        <f aca="false">IF(O13="","-",IF(P13&gt;$B$1,"초과 (+"&amp;(P13-$B$1)&amp;"자)",IF(P13&lt;$B$1*0.5,"너무 짧음","적정")))</f>
        <v>-</v>
      </c>
    </row>
    <row r="14" customFormat="false" ht="18" hidden="false" customHeight="true" outlineLevel="0" collapsed="false">
      <c r="A14" s="11" t="str">
        <f aca="false">IF(B14="","",ROW()-3)</f>
        <v/>
      </c>
      <c r="B14" s="13"/>
      <c r="C14" s="13"/>
      <c r="D14" s="12"/>
      <c r="E14" s="13"/>
      <c r="F14" s="13"/>
      <c r="G14" s="13"/>
      <c r="H14" s="13"/>
      <c r="I14" s="13"/>
      <c r="J14" s="13"/>
      <c r="K14" s="13"/>
      <c r="L14" s="13"/>
      <c r="M14" s="13"/>
      <c r="N14" s="13"/>
      <c r="O14" s="14" t="str">
        <f aca="false">IF($B14="","",_xlfn.TEXTJOIN(" ",TRUE(),IF($E14&lt;&gt;"","'"&amp;$E14&amp;"' 활동에 참여하여 "&amp;$F14&amp;"을(를) 수행함."&amp;IF($G14&lt;&gt;""," "&amp;$G14&amp;"을(를) 보임.",""),""),IF($H14&lt;&gt;"","'"&amp;$H14&amp;"' 활동에서 "&amp;$I14&amp;"을(를) 수행함."&amp;IF($J14&lt;&gt;""," "&amp;$J14&amp;"을(를) 보임.",""),""),IF($K14&lt;&gt;"","'"&amp;$K14&amp;"' 활동을 통해 "&amp;$L14&amp;"을(를) 수행함."&amp;IF($M14&lt;&gt;""," "&amp;$M14&amp;"을(를) 보임.",""),""),$N14))</f>
        <v/>
      </c>
      <c r="P14" s="11" t="str">
        <f aca="false">IF(O14="","",LEN(O14))</f>
        <v/>
      </c>
      <c r="Q14" s="15" t="str">
        <f aca="false">IF(O14="","-",IF(P14&gt;$B$1,"초과 (+"&amp;(P14-$B$1)&amp;"자)",IF(P14&lt;$B$1*0.5,"너무 짧음","적정")))</f>
        <v>-</v>
      </c>
    </row>
    <row r="15" customFormat="false" ht="18" hidden="false" customHeight="true" outlineLevel="0" collapsed="false">
      <c r="A15" s="11" t="str">
        <f aca="false">IF(B15="","",ROW()-3)</f>
        <v/>
      </c>
      <c r="B15" s="13"/>
      <c r="C15" s="13"/>
      <c r="D15" s="12"/>
      <c r="E15" s="13"/>
      <c r="F15" s="13"/>
      <c r="G15" s="13"/>
      <c r="H15" s="13"/>
      <c r="I15" s="13"/>
      <c r="J15" s="13"/>
      <c r="K15" s="13"/>
      <c r="L15" s="13"/>
      <c r="M15" s="13"/>
      <c r="N15" s="13"/>
      <c r="O15" s="14" t="str">
        <f aca="false">IF($B15="","",_xlfn.TEXTJOIN(" ",TRUE(),IF($E15&lt;&gt;"","'"&amp;$E15&amp;"' 활동에 참여하여 "&amp;$F15&amp;"을(를) 수행함."&amp;IF($G15&lt;&gt;""," "&amp;$G15&amp;"을(를) 보임.",""),""),IF($H15&lt;&gt;"","'"&amp;$H15&amp;"' 활동에서 "&amp;$I15&amp;"을(를) 수행함."&amp;IF($J15&lt;&gt;""," "&amp;$J15&amp;"을(를) 보임.",""),""),IF($K15&lt;&gt;"","'"&amp;$K15&amp;"' 활동을 통해 "&amp;$L15&amp;"을(를) 수행함."&amp;IF($M15&lt;&gt;""," "&amp;$M15&amp;"을(를) 보임.",""),""),$N15))</f>
        <v/>
      </c>
      <c r="P15" s="11" t="str">
        <f aca="false">IF(O15="","",LEN(O15))</f>
        <v/>
      </c>
      <c r="Q15" s="15" t="str">
        <f aca="false">IF(O15="","-",IF(P15&gt;$B$1,"초과 (+"&amp;(P15-$B$1)&amp;"자)",IF(P15&lt;$B$1*0.5,"너무 짧음","적정")))</f>
        <v>-</v>
      </c>
    </row>
    <row r="16" customFormat="false" ht="18" hidden="false" customHeight="true" outlineLevel="0" collapsed="false">
      <c r="A16" s="11" t="str">
        <f aca="false">IF(B16="","",ROW()-3)</f>
        <v/>
      </c>
      <c r="B16" s="13"/>
      <c r="C16" s="13"/>
      <c r="D16" s="12"/>
      <c r="E16" s="13"/>
      <c r="F16" s="13"/>
      <c r="G16" s="13"/>
      <c r="H16" s="13"/>
      <c r="I16" s="13"/>
      <c r="J16" s="13"/>
      <c r="K16" s="13"/>
      <c r="L16" s="13"/>
      <c r="M16" s="13"/>
      <c r="N16" s="13"/>
      <c r="O16" s="14" t="str">
        <f aca="false">IF($B16="","",_xlfn.TEXTJOIN(" ",TRUE(),IF($E16&lt;&gt;"","'"&amp;$E16&amp;"' 활동에 참여하여 "&amp;$F16&amp;"을(를) 수행함."&amp;IF($G16&lt;&gt;""," "&amp;$G16&amp;"을(를) 보임.",""),""),IF($H16&lt;&gt;"","'"&amp;$H16&amp;"' 활동에서 "&amp;$I16&amp;"을(를) 수행함."&amp;IF($J16&lt;&gt;""," "&amp;$J16&amp;"을(를) 보임.",""),""),IF($K16&lt;&gt;"","'"&amp;$K16&amp;"' 활동을 통해 "&amp;$L16&amp;"을(를) 수행함."&amp;IF($M16&lt;&gt;""," "&amp;$M16&amp;"을(를) 보임.",""),""),$N16))</f>
        <v/>
      </c>
      <c r="P16" s="11" t="str">
        <f aca="false">IF(O16="","",LEN(O16))</f>
        <v/>
      </c>
      <c r="Q16" s="15" t="str">
        <f aca="false">IF(O16="","-",IF(P16&gt;$B$1,"초과 (+"&amp;(P16-$B$1)&amp;"자)",IF(P16&lt;$B$1*0.5,"너무 짧음","적정")))</f>
        <v>-</v>
      </c>
    </row>
    <row r="17" customFormat="false" ht="18" hidden="false" customHeight="true" outlineLevel="0" collapsed="false">
      <c r="A17" s="11" t="str">
        <f aca="false">IF(B17="","",ROW()-3)</f>
        <v/>
      </c>
      <c r="B17" s="13"/>
      <c r="C17" s="13"/>
      <c r="D17" s="12"/>
      <c r="E17" s="13"/>
      <c r="F17" s="13"/>
      <c r="G17" s="13"/>
      <c r="H17" s="13"/>
      <c r="I17" s="13"/>
      <c r="J17" s="13"/>
      <c r="K17" s="13"/>
      <c r="L17" s="13"/>
      <c r="M17" s="13"/>
      <c r="N17" s="13"/>
      <c r="O17" s="14" t="str">
        <f aca="false">IF($B17="","",_xlfn.TEXTJOIN(" ",TRUE(),IF($E17&lt;&gt;"","'"&amp;$E17&amp;"' 활동에 참여하여 "&amp;$F17&amp;"을(를) 수행함."&amp;IF($G17&lt;&gt;""," "&amp;$G17&amp;"을(를) 보임.",""),""),IF($H17&lt;&gt;"","'"&amp;$H17&amp;"' 활동에서 "&amp;$I17&amp;"을(를) 수행함."&amp;IF($J17&lt;&gt;""," "&amp;$J17&amp;"을(를) 보임.",""),""),IF($K17&lt;&gt;"","'"&amp;$K17&amp;"' 활동을 통해 "&amp;$L17&amp;"을(를) 수행함."&amp;IF($M17&lt;&gt;""," "&amp;$M17&amp;"을(를) 보임.",""),""),$N17))</f>
        <v/>
      </c>
      <c r="P17" s="11" t="str">
        <f aca="false">IF(O17="","",LEN(O17))</f>
        <v/>
      </c>
      <c r="Q17" s="15" t="str">
        <f aca="false">IF(O17="","-",IF(P17&gt;$B$1,"초과 (+"&amp;(P17-$B$1)&amp;"자)",IF(P17&lt;$B$1*0.5,"너무 짧음","적정")))</f>
        <v>-</v>
      </c>
    </row>
    <row r="18" customFormat="false" ht="18" hidden="false" customHeight="true" outlineLevel="0" collapsed="false">
      <c r="A18" s="11" t="str">
        <f aca="false">IF(B18="","",ROW()-3)</f>
        <v/>
      </c>
      <c r="B18" s="13"/>
      <c r="C18" s="13"/>
      <c r="D18" s="12"/>
      <c r="E18" s="13"/>
      <c r="F18" s="13"/>
      <c r="G18" s="13"/>
      <c r="H18" s="13"/>
      <c r="I18" s="13"/>
      <c r="J18" s="13"/>
      <c r="K18" s="13"/>
      <c r="L18" s="13"/>
      <c r="M18" s="13"/>
      <c r="N18" s="13"/>
      <c r="O18" s="14" t="str">
        <f aca="false">IF($B18="","",_xlfn.TEXTJOIN(" ",TRUE(),IF($E18&lt;&gt;"","'"&amp;$E18&amp;"' 활동에 참여하여 "&amp;$F18&amp;"을(를) 수행함."&amp;IF($G18&lt;&gt;""," "&amp;$G18&amp;"을(를) 보임.",""),""),IF($H18&lt;&gt;"","'"&amp;$H18&amp;"' 활동에서 "&amp;$I18&amp;"을(를) 수행함."&amp;IF($J18&lt;&gt;""," "&amp;$J18&amp;"을(를) 보임.",""),""),IF($K18&lt;&gt;"","'"&amp;$K18&amp;"' 활동을 통해 "&amp;$L18&amp;"을(를) 수행함."&amp;IF($M18&lt;&gt;""," "&amp;$M18&amp;"을(를) 보임.",""),""),$N18))</f>
        <v/>
      </c>
      <c r="P18" s="11" t="str">
        <f aca="false">IF(O18="","",LEN(O18))</f>
        <v/>
      </c>
      <c r="Q18" s="15" t="str">
        <f aca="false">IF(O18="","-",IF(P18&gt;$B$1,"초과 (+"&amp;(P18-$B$1)&amp;"자)",IF(P18&lt;$B$1*0.5,"너무 짧음","적정")))</f>
        <v>-</v>
      </c>
    </row>
    <row r="19" customFormat="false" ht="18" hidden="false" customHeight="true" outlineLevel="0" collapsed="false">
      <c r="A19" s="11" t="str">
        <f aca="false">IF(B19="","",ROW()-3)</f>
        <v/>
      </c>
      <c r="B19" s="13"/>
      <c r="C19" s="13"/>
      <c r="D19" s="12"/>
      <c r="E19" s="13"/>
      <c r="F19" s="13"/>
      <c r="G19" s="13"/>
      <c r="H19" s="13"/>
      <c r="I19" s="13"/>
      <c r="J19" s="13"/>
      <c r="K19" s="13"/>
      <c r="L19" s="13"/>
      <c r="M19" s="13"/>
      <c r="N19" s="13"/>
      <c r="O19" s="14" t="str">
        <f aca="false">IF($B19="","",_xlfn.TEXTJOIN(" ",TRUE(),IF($E19&lt;&gt;"","'"&amp;$E19&amp;"' 활동에 참여하여 "&amp;$F19&amp;"을(를) 수행함."&amp;IF($G19&lt;&gt;""," "&amp;$G19&amp;"을(를) 보임.",""),""),IF($H19&lt;&gt;"","'"&amp;$H19&amp;"' 활동에서 "&amp;$I19&amp;"을(를) 수행함."&amp;IF($J19&lt;&gt;""," "&amp;$J19&amp;"을(를) 보임.",""),""),IF($K19&lt;&gt;"","'"&amp;$K19&amp;"' 활동을 통해 "&amp;$L19&amp;"을(를) 수행함."&amp;IF($M19&lt;&gt;""," "&amp;$M19&amp;"을(를) 보임.",""),""),$N19))</f>
        <v/>
      </c>
      <c r="P19" s="11" t="str">
        <f aca="false">IF(O19="","",LEN(O19))</f>
        <v/>
      </c>
      <c r="Q19" s="15" t="str">
        <f aca="false">IF(O19="","-",IF(P19&gt;$B$1,"초과 (+"&amp;(P19-$B$1)&amp;"자)",IF(P19&lt;$B$1*0.5,"너무 짧음","적정")))</f>
        <v>-</v>
      </c>
    </row>
    <row r="20" customFormat="false" ht="18" hidden="false" customHeight="true" outlineLevel="0" collapsed="false">
      <c r="A20" s="11" t="str">
        <f aca="false">IF(B20="","",ROW()-3)</f>
        <v/>
      </c>
      <c r="B20" s="13"/>
      <c r="C20" s="13"/>
      <c r="D20" s="12"/>
      <c r="E20" s="13"/>
      <c r="F20" s="13"/>
      <c r="G20" s="13"/>
      <c r="H20" s="13"/>
      <c r="I20" s="13"/>
      <c r="J20" s="13"/>
      <c r="K20" s="13"/>
      <c r="L20" s="13"/>
      <c r="M20" s="13"/>
      <c r="N20" s="13"/>
      <c r="O20" s="14" t="str">
        <f aca="false">IF($B20="","",_xlfn.TEXTJOIN(" ",TRUE(),IF($E20&lt;&gt;"","'"&amp;$E20&amp;"' 활동에 참여하여 "&amp;$F20&amp;"을(를) 수행함."&amp;IF($G20&lt;&gt;""," "&amp;$G20&amp;"을(를) 보임.",""),""),IF($H20&lt;&gt;"","'"&amp;$H20&amp;"' 활동에서 "&amp;$I20&amp;"을(를) 수행함."&amp;IF($J20&lt;&gt;""," "&amp;$J20&amp;"을(를) 보임.",""),""),IF($K20&lt;&gt;"","'"&amp;$K20&amp;"' 활동을 통해 "&amp;$L20&amp;"을(를) 수행함."&amp;IF($M20&lt;&gt;""," "&amp;$M20&amp;"을(를) 보임.",""),""),$N20))</f>
        <v/>
      </c>
      <c r="P20" s="11" t="str">
        <f aca="false">IF(O20="","",LEN(O20))</f>
        <v/>
      </c>
      <c r="Q20" s="15" t="str">
        <f aca="false">IF(O20="","-",IF(P20&gt;$B$1,"초과 (+"&amp;(P20-$B$1)&amp;"자)",IF(P20&lt;$B$1*0.5,"너무 짧음","적정")))</f>
        <v>-</v>
      </c>
    </row>
    <row r="21" customFormat="false" ht="18" hidden="false" customHeight="true" outlineLevel="0" collapsed="false">
      <c r="A21" s="11" t="str">
        <f aca="false">IF(B21="","",ROW()-3)</f>
        <v/>
      </c>
      <c r="B21" s="13"/>
      <c r="C21" s="13"/>
      <c r="D21" s="12"/>
      <c r="E21" s="13"/>
      <c r="F21" s="13"/>
      <c r="G21" s="13"/>
      <c r="H21" s="13"/>
      <c r="I21" s="13"/>
      <c r="J21" s="13"/>
      <c r="K21" s="13"/>
      <c r="L21" s="13"/>
      <c r="M21" s="13"/>
      <c r="N21" s="13"/>
      <c r="O21" s="14" t="str">
        <f aca="false">IF($B21="","",_xlfn.TEXTJOIN(" ",TRUE(),IF($E21&lt;&gt;"","'"&amp;$E21&amp;"' 활동에 참여하여 "&amp;$F21&amp;"을(를) 수행함."&amp;IF($G21&lt;&gt;""," "&amp;$G21&amp;"을(를) 보임.",""),""),IF($H21&lt;&gt;"","'"&amp;$H21&amp;"' 활동에서 "&amp;$I21&amp;"을(를) 수행함."&amp;IF($J21&lt;&gt;""," "&amp;$J21&amp;"을(를) 보임.",""),""),IF($K21&lt;&gt;"","'"&amp;$K21&amp;"' 활동을 통해 "&amp;$L21&amp;"을(를) 수행함."&amp;IF($M21&lt;&gt;""," "&amp;$M21&amp;"을(를) 보임.",""),""),$N21))</f>
        <v/>
      </c>
      <c r="P21" s="11" t="str">
        <f aca="false">IF(O21="","",LEN(O21))</f>
        <v/>
      </c>
      <c r="Q21" s="15" t="str">
        <f aca="false">IF(O21="","-",IF(P21&gt;$B$1,"초과 (+"&amp;(P21-$B$1)&amp;"자)",IF(P21&lt;$B$1*0.5,"너무 짧음","적정")))</f>
        <v>-</v>
      </c>
    </row>
    <row r="22" customFormat="false" ht="18" hidden="false" customHeight="true" outlineLevel="0" collapsed="false">
      <c r="A22" s="11" t="str">
        <f aca="false">IF(B22="","",ROW()-3)</f>
        <v/>
      </c>
      <c r="B22" s="13"/>
      <c r="C22" s="13"/>
      <c r="D22" s="12"/>
      <c r="E22" s="13"/>
      <c r="F22" s="13"/>
      <c r="G22" s="13"/>
      <c r="H22" s="13"/>
      <c r="I22" s="13"/>
      <c r="J22" s="13"/>
      <c r="K22" s="13"/>
      <c r="L22" s="13"/>
      <c r="M22" s="13"/>
      <c r="N22" s="13"/>
      <c r="O22" s="14" t="str">
        <f aca="false">IF($B22="","",_xlfn.TEXTJOIN(" ",TRUE(),IF($E22&lt;&gt;"","'"&amp;$E22&amp;"' 활동에 참여하여 "&amp;$F22&amp;"을(를) 수행함."&amp;IF($G22&lt;&gt;""," "&amp;$G22&amp;"을(를) 보임.",""),""),IF($H22&lt;&gt;"","'"&amp;$H22&amp;"' 활동에서 "&amp;$I22&amp;"을(를) 수행함."&amp;IF($J22&lt;&gt;""," "&amp;$J22&amp;"을(를) 보임.",""),""),IF($K22&lt;&gt;"","'"&amp;$K22&amp;"' 활동을 통해 "&amp;$L22&amp;"을(를) 수행함."&amp;IF($M22&lt;&gt;""," "&amp;$M22&amp;"을(를) 보임.",""),""),$N22))</f>
        <v/>
      </c>
      <c r="P22" s="11" t="str">
        <f aca="false">IF(O22="","",LEN(O22))</f>
        <v/>
      </c>
      <c r="Q22" s="15" t="str">
        <f aca="false">IF(O22="","-",IF(P22&gt;$B$1,"초과 (+"&amp;(P22-$B$1)&amp;"자)",IF(P22&lt;$B$1*0.5,"너무 짧음","적정")))</f>
        <v>-</v>
      </c>
    </row>
    <row r="23" customFormat="false" ht="18" hidden="false" customHeight="true" outlineLevel="0" collapsed="false">
      <c r="A23" s="11" t="str">
        <f aca="false">IF(B23="","",ROW()-3)</f>
        <v/>
      </c>
      <c r="B23" s="13"/>
      <c r="C23" s="13"/>
      <c r="D23" s="12"/>
      <c r="E23" s="13"/>
      <c r="F23" s="13"/>
      <c r="G23" s="13"/>
      <c r="H23" s="13"/>
      <c r="I23" s="13"/>
      <c r="J23" s="13"/>
      <c r="K23" s="13"/>
      <c r="L23" s="13"/>
      <c r="M23" s="13"/>
      <c r="N23" s="13"/>
      <c r="O23" s="14" t="str">
        <f aca="false">IF($B23="","",_xlfn.TEXTJOIN(" ",TRUE(),IF($E23&lt;&gt;"","'"&amp;$E23&amp;"' 활동에 참여하여 "&amp;$F23&amp;"을(를) 수행함."&amp;IF($G23&lt;&gt;""," "&amp;$G23&amp;"을(를) 보임.",""),""),IF($H23&lt;&gt;"","'"&amp;$H23&amp;"' 활동에서 "&amp;$I23&amp;"을(를) 수행함."&amp;IF($J23&lt;&gt;""," "&amp;$J23&amp;"을(를) 보임.",""),""),IF($K23&lt;&gt;"","'"&amp;$K23&amp;"' 활동을 통해 "&amp;$L23&amp;"을(를) 수행함."&amp;IF($M23&lt;&gt;""," "&amp;$M23&amp;"을(를) 보임.",""),""),$N23))</f>
        <v/>
      </c>
      <c r="P23" s="11" t="str">
        <f aca="false">IF(O23="","",LEN(O23))</f>
        <v/>
      </c>
      <c r="Q23" s="15" t="str">
        <f aca="false">IF(O23="","-",IF(P23&gt;$B$1,"초과 (+"&amp;(P23-$B$1)&amp;"자)",IF(P23&lt;$B$1*0.5,"너무 짧음","적정")))</f>
        <v>-</v>
      </c>
    </row>
    <row r="24" customFormat="false" ht="18" hidden="false" customHeight="true" outlineLevel="0" collapsed="false">
      <c r="A24" s="11" t="str">
        <f aca="false">IF(B24="","",ROW()-3)</f>
        <v/>
      </c>
      <c r="B24" s="13"/>
      <c r="C24" s="13"/>
      <c r="D24" s="12"/>
      <c r="E24" s="13"/>
      <c r="F24" s="13"/>
      <c r="G24" s="13"/>
      <c r="H24" s="13"/>
      <c r="I24" s="13"/>
      <c r="J24" s="13"/>
      <c r="K24" s="13"/>
      <c r="L24" s="13"/>
      <c r="M24" s="13"/>
      <c r="N24" s="13"/>
      <c r="O24" s="14" t="str">
        <f aca="false">IF($B24="","",_xlfn.TEXTJOIN(" ",TRUE(),IF($E24&lt;&gt;"","'"&amp;$E24&amp;"' 활동에 참여하여 "&amp;$F24&amp;"을(를) 수행함."&amp;IF($G24&lt;&gt;""," "&amp;$G24&amp;"을(를) 보임.",""),""),IF($H24&lt;&gt;"","'"&amp;$H24&amp;"' 활동에서 "&amp;$I24&amp;"을(를) 수행함."&amp;IF($J24&lt;&gt;""," "&amp;$J24&amp;"을(를) 보임.",""),""),IF($K24&lt;&gt;"","'"&amp;$K24&amp;"' 활동을 통해 "&amp;$L24&amp;"을(를) 수행함."&amp;IF($M24&lt;&gt;""," "&amp;$M24&amp;"을(를) 보임.",""),""),$N24))</f>
        <v/>
      </c>
      <c r="P24" s="11" t="str">
        <f aca="false">IF(O24="","",LEN(O24))</f>
        <v/>
      </c>
      <c r="Q24" s="15" t="str">
        <f aca="false">IF(O24="","-",IF(P24&gt;$B$1,"초과 (+"&amp;(P24-$B$1)&amp;"자)",IF(P24&lt;$B$1*0.5,"너무 짧음","적정")))</f>
        <v>-</v>
      </c>
    </row>
    <row r="25" customFormat="false" ht="18" hidden="false" customHeight="true" outlineLevel="0" collapsed="false">
      <c r="A25" s="11" t="str">
        <f aca="false">IF(B25="","",ROW()-3)</f>
        <v/>
      </c>
      <c r="B25" s="13"/>
      <c r="C25" s="13"/>
      <c r="D25" s="12"/>
      <c r="E25" s="13"/>
      <c r="F25" s="13"/>
      <c r="G25" s="13"/>
      <c r="H25" s="13"/>
      <c r="I25" s="13"/>
      <c r="J25" s="13"/>
      <c r="K25" s="13"/>
      <c r="L25" s="13"/>
      <c r="M25" s="13"/>
      <c r="N25" s="13"/>
      <c r="O25" s="14" t="str">
        <f aca="false">IF($B25="","",_xlfn.TEXTJOIN(" ",TRUE(),IF($E25&lt;&gt;"","'"&amp;$E25&amp;"' 활동에 참여하여 "&amp;$F25&amp;"을(를) 수행함."&amp;IF($G25&lt;&gt;""," "&amp;$G25&amp;"을(를) 보임.",""),""),IF($H25&lt;&gt;"","'"&amp;$H25&amp;"' 활동에서 "&amp;$I25&amp;"을(를) 수행함."&amp;IF($J25&lt;&gt;""," "&amp;$J25&amp;"을(를) 보임.",""),""),IF($K25&lt;&gt;"","'"&amp;$K25&amp;"' 활동을 통해 "&amp;$L25&amp;"을(를) 수행함."&amp;IF($M25&lt;&gt;""," "&amp;$M25&amp;"을(를) 보임.",""),""),$N25))</f>
        <v/>
      </c>
      <c r="P25" s="11" t="str">
        <f aca="false">IF(O25="","",LEN(O25))</f>
        <v/>
      </c>
      <c r="Q25" s="15" t="str">
        <f aca="false">IF(O25="","-",IF(P25&gt;$B$1,"초과 (+"&amp;(P25-$B$1)&amp;"자)",IF(P25&lt;$B$1*0.5,"너무 짧음","적정")))</f>
        <v>-</v>
      </c>
    </row>
    <row r="26" customFormat="false" ht="18" hidden="false" customHeight="true" outlineLevel="0" collapsed="false">
      <c r="A26" s="11" t="str">
        <f aca="false">IF(B26="","",ROW()-3)</f>
        <v/>
      </c>
      <c r="B26" s="13"/>
      <c r="C26" s="13"/>
      <c r="D26" s="12"/>
      <c r="E26" s="13"/>
      <c r="F26" s="13"/>
      <c r="G26" s="13"/>
      <c r="H26" s="13"/>
      <c r="I26" s="13"/>
      <c r="J26" s="13"/>
      <c r="K26" s="13"/>
      <c r="L26" s="13"/>
      <c r="M26" s="13"/>
      <c r="N26" s="13"/>
      <c r="O26" s="14" t="str">
        <f aca="false">IF($B26="","",_xlfn.TEXTJOIN(" ",TRUE(),IF($E26&lt;&gt;"","'"&amp;$E26&amp;"' 활동에 참여하여 "&amp;$F26&amp;"을(를) 수행함."&amp;IF($G26&lt;&gt;""," "&amp;$G26&amp;"을(를) 보임.",""),""),IF($H26&lt;&gt;"","'"&amp;$H26&amp;"' 활동에서 "&amp;$I26&amp;"을(를) 수행함."&amp;IF($J26&lt;&gt;""," "&amp;$J26&amp;"을(를) 보임.",""),""),IF($K26&lt;&gt;"","'"&amp;$K26&amp;"' 활동을 통해 "&amp;$L26&amp;"을(를) 수행함."&amp;IF($M26&lt;&gt;""," "&amp;$M26&amp;"을(를) 보임.",""),""),$N26))</f>
        <v/>
      </c>
      <c r="P26" s="11" t="str">
        <f aca="false">IF(O26="","",LEN(O26))</f>
        <v/>
      </c>
      <c r="Q26" s="15" t="str">
        <f aca="false">IF(O26="","-",IF(P26&gt;$B$1,"초과 (+"&amp;(P26-$B$1)&amp;"자)",IF(P26&lt;$B$1*0.5,"너무 짧음","적정")))</f>
        <v>-</v>
      </c>
    </row>
    <row r="27" customFormat="false" ht="18" hidden="false" customHeight="true" outlineLevel="0" collapsed="false">
      <c r="A27" s="11" t="str">
        <f aca="false">IF(B27="","",ROW()-3)</f>
        <v/>
      </c>
      <c r="B27" s="13"/>
      <c r="C27" s="13"/>
      <c r="D27" s="12"/>
      <c r="E27" s="13"/>
      <c r="F27" s="13"/>
      <c r="G27" s="13"/>
      <c r="H27" s="13"/>
      <c r="I27" s="13"/>
      <c r="J27" s="13"/>
      <c r="K27" s="13"/>
      <c r="L27" s="13"/>
      <c r="M27" s="13"/>
      <c r="N27" s="13"/>
      <c r="O27" s="14" t="str">
        <f aca="false">IF($B27="","",_xlfn.TEXTJOIN(" ",TRUE(),IF($E27&lt;&gt;"","'"&amp;$E27&amp;"' 활동에 참여하여 "&amp;$F27&amp;"을(를) 수행함."&amp;IF($G27&lt;&gt;""," "&amp;$G27&amp;"을(를) 보임.",""),""),IF($H27&lt;&gt;"","'"&amp;$H27&amp;"' 활동에서 "&amp;$I27&amp;"을(를) 수행함."&amp;IF($J27&lt;&gt;""," "&amp;$J27&amp;"을(를) 보임.",""),""),IF($K27&lt;&gt;"","'"&amp;$K27&amp;"' 활동을 통해 "&amp;$L27&amp;"을(를) 수행함."&amp;IF($M27&lt;&gt;""," "&amp;$M27&amp;"을(를) 보임.",""),""),$N27))</f>
        <v/>
      </c>
      <c r="P27" s="11" t="str">
        <f aca="false">IF(O27="","",LEN(O27))</f>
        <v/>
      </c>
      <c r="Q27" s="15" t="str">
        <f aca="false">IF(O27="","-",IF(P27&gt;$B$1,"초과 (+"&amp;(P27-$B$1)&amp;"자)",IF(P27&lt;$B$1*0.5,"너무 짧음","적정")))</f>
        <v>-</v>
      </c>
    </row>
    <row r="28" customFormat="false" ht="18" hidden="false" customHeight="true" outlineLevel="0" collapsed="false">
      <c r="A28" s="11" t="str">
        <f aca="false">IF(B28="","",ROW()-3)</f>
        <v/>
      </c>
      <c r="B28" s="13"/>
      <c r="C28" s="13"/>
      <c r="D28" s="12"/>
      <c r="E28" s="13"/>
      <c r="F28" s="13"/>
      <c r="G28" s="13"/>
      <c r="H28" s="13"/>
      <c r="I28" s="13"/>
      <c r="J28" s="13"/>
      <c r="K28" s="13"/>
      <c r="L28" s="13"/>
      <c r="M28" s="13"/>
      <c r="N28" s="13"/>
      <c r="O28" s="14" t="str">
        <f aca="false">IF($B28="","",_xlfn.TEXTJOIN(" ",TRUE(),IF($E28&lt;&gt;"","'"&amp;$E28&amp;"' 활동에 참여하여 "&amp;$F28&amp;"을(를) 수행함."&amp;IF($G28&lt;&gt;""," "&amp;$G28&amp;"을(를) 보임.",""),""),IF($H28&lt;&gt;"","'"&amp;$H28&amp;"' 활동에서 "&amp;$I28&amp;"을(를) 수행함."&amp;IF($J28&lt;&gt;""," "&amp;$J28&amp;"을(를) 보임.",""),""),IF($K28&lt;&gt;"","'"&amp;$K28&amp;"' 활동을 통해 "&amp;$L28&amp;"을(를) 수행함."&amp;IF($M28&lt;&gt;""," "&amp;$M28&amp;"을(를) 보임.",""),""),$N28))</f>
        <v/>
      </c>
      <c r="P28" s="11" t="str">
        <f aca="false">IF(O28="","",LEN(O28))</f>
        <v/>
      </c>
      <c r="Q28" s="15" t="str">
        <f aca="false">IF(O28="","-",IF(P28&gt;$B$1,"초과 (+"&amp;(P28-$B$1)&amp;"자)",IF(P28&lt;$B$1*0.5,"너무 짧음","적정")))</f>
        <v>-</v>
      </c>
    </row>
    <row r="29" customFormat="false" ht="18" hidden="false" customHeight="true" outlineLevel="0" collapsed="false">
      <c r="A29" s="11" t="str">
        <f aca="false">IF(B29="","",ROW()-3)</f>
        <v/>
      </c>
      <c r="B29" s="13"/>
      <c r="C29" s="13"/>
      <c r="D29" s="12"/>
      <c r="E29" s="13"/>
      <c r="F29" s="13"/>
      <c r="G29" s="13"/>
      <c r="H29" s="13"/>
      <c r="I29" s="13"/>
      <c r="J29" s="13"/>
      <c r="K29" s="13"/>
      <c r="L29" s="13"/>
      <c r="M29" s="13"/>
      <c r="N29" s="13"/>
      <c r="O29" s="14" t="str">
        <f aca="false">IF($B29="","",_xlfn.TEXTJOIN(" ",TRUE(),IF($E29&lt;&gt;"","'"&amp;$E29&amp;"' 활동에 참여하여 "&amp;$F29&amp;"을(를) 수행함."&amp;IF($G29&lt;&gt;""," "&amp;$G29&amp;"을(를) 보임.",""),""),IF($H29&lt;&gt;"","'"&amp;$H29&amp;"' 활동에서 "&amp;$I29&amp;"을(를) 수행함."&amp;IF($J29&lt;&gt;""," "&amp;$J29&amp;"을(를) 보임.",""),""),IF($K29&lt;&gt;"","'"&amp;$K29&amp;"' 활동을 통해 "&amp;$L29&amp;"을(를) 수행함."&amp;IF($M29&lt;&gt;""," "&amp;$M29&amp;"을(를) 보임.",""),""),$N29))</f>
        <v/>
      </c>
      <c r="P29" s="11" t="str">
        <f aca="false">IF(O29="","",LEN(O29))</f>
        <v/>
      </c>
      <c r="Q29" s="15" t="str">
        <f aca="false">IF(O29="","-",IF(P29&gt;$B$1,"초과 (+"&amp;(P29-$B$1)&amp;"자)",IF(P29&lt;$B$1*0.5,"너무 짧음","적정")))</f>
        <v>-</v>
      </c>
    </row>
    <row r="30" customFormat="false" ht="18" hidden="false" customHeight="true" outlineLevel="0" collapsed="false">
      <c r="A30" s="11" t="str">
        <f aca="false">IF(B30="","",ROW()-3)</f>
        <v/>
      </c>
      <c r="B30" s="13"/>
      <c r="C30" s="13"/>
      <c r="D30" s="12"/>
      <c r="E30" s="13"/>
      <c r="F30" s="13"/>
      <c r="G30" s="13"/>
      <c r="H30" s="13"/>
      <c r="I30" s="13"/>
      <c r="J30" s="13"/>
      <c r="K30" s="13"/>
      <c r="L30" s="13"/>
      <c r="M30" s="13"/>
      <c r="N30" s="13"/>
      <c r="O30" s="14" t="str">
        <f aca="false">IF($B30="","",_xlfn.TEXTJOIN(" ",TRUE(),IF($E30&lt;&gt;"","'"&amp;$E30&amp;"' 활동에 참여하여 "&amp;$F30&amp;"을(를) 수행함."&amp;IF($G30&lt;&gt;""," "&amp;$G30&amp;"을(를) 보임.",""),""),IF($H30&lt;&gt;"","'"&amp;$H30&amp;"' 활동에서 "&amp;$I30&amp;"을(를) 수행함."&amp;IF($J30&lt;&gt;""," "&amp;$J30&amp;"을(를) 보임.",""),""),IF($K30&lt;&gt;"","'"&amp;$K30&amp;"' 활동을 통해 "&amp;$L30&amp;"을(를) 수행함."&amp;IF($M30&lt;&gt;""," "&amp;$M30&amp;"을(를) 보임.",""),""),$N30))</f>
        <v/>
      </c>
      <c r="P30" s="11" t="str">
        <f aca="false">IF(O30="","",LEN(O30))</f>
        <v/>
      </c>
      <c r="Q30" s="15" t="str">
        <f aca="false">IF(O30="","-",IF(P30&gt;$B$1,"초과 (+"&amp;(P30-$B$1)&amp;"자)",IF(P30&lt;$B$1*0.5,"너무 짧음","적정")))</f>
        <v>-</v>
      </c>
    </row>
    <row r="31" customFormat="false" ht="18" hidden="false" customHeight="true" outlineLevel="0" collapsed="false">
      <c r="A31" s="11" t="str">
        <f aca="false">IF(B31="","",ROW()-3)</f>
        <v/>
      </c>
      <c r="B31" s="13"/>
      <c r="C31" s="13"/>
      <c r="D31" s="12"/>
      <c r="E31" s="13"/>
      <c r="F31" s="13"/>
      <c r="G31" s="13"/>
      <c r="H31" s="13"/>
      <c r="I31" s="13"/>
      <c r="J31" s="13"/>
      <c r="K31" s="13"/>
      <c r="L31" s="13"/>
      <c r="M31" s="13"/>
      <c r="N31" s="13"/>
      <c r="O31" s="14" t="str">
        <f aca="false">IF($B31="","",_xlfn.TEXTJOIN(" ",TRUE(),IF($E31&lt;&gt;"","'"&amp;$E31&amp;"' 활동에 참여하여 "&amp;$F31&amp;"을(를) 수행함."&amp;IF($G31&lt;&gt;""," "&amp;$G31&amp;"을(를) 보임.",""),""),IF($H31&lt;&gt;"","'"&amp;$H31&amp;"' 활동에서 "&amp;$I31&amp;"을(를) 수행함."&amp;IF($J31&lt;&gt;""," "&amp;$J31&amp;"을(를) 보임.",""),""),IF($K31&lt;&gt;"","'"&amp;$K31&amp;"' 활동을 통해 "&amp;$L31&amp;"을(를) 수행함."&amp;IF($M31&lt;&gt;""," "&amp;$M31&amp;"을(를) 보임.",""),""),$N31))</f>
        <v/>
      </c>
      <c r="P31" s="11" t="str">
        <f aca="false">IF(O31="","",LEN(O31))</f>
        <v/>
      </c>
      <c r="Q31" s="15" t="str">
        <f aca="false">IF(O31="","-",IF(P31&gt;$B$1,"초과 (+"&amp;(P31-$B$1)&amp;"자)",IF(P31&lt;$B$1*0.5,"너무 짧음","적정")))</f>
        <v>-</v>
      </c>
    </row>
    <row r="32" customFormat="false" ht="18" hidden="false" customHeight="true" outlineLevel="0" collapsed="false">
      <c r="A32" s="11" t="str">
        <f aca="false">IF(B32="","",ROW()-3)</f>
        <v/>
      </c>
      <c r="B32" s="13"/>
      <c r="C32" s="13"/>
      <c r="D32" s="12"/>
      <c r="E32" s="13"/>
      <c r="F32" s="13"/>
      <c r="G32" s="13"/>
      <c r="H32" s="13"/>
      <c r="I32" s="13"/>
      <c r="J32" s="13"/>
      <c r="K32" s="13"/>
      <c r="L32" s="13"/>
      <c r="M32" s="13"/>
      <c r="N32" s="13"/>
      <c r="O32" s="14" t="str">
        <f aca="false">IF($B32="","",_xlfn.TEXTJOIN(" ",TRUE(),IF($E32&lt;&gt;"","'"&amp;$E32&amp;"' 활동에 참여하여 "&amp;$F32&amp;"을(를) 수행함."&amp;IF($G32&lt;&gt;""," "&amp;$G32&amp;"을(를) 보임.",""),""),IF($H32&lt;&gt;"","'"&amp;$H32&amp;"' 활동에서 "&amp;$I32&amp;"을(를) 수행함."&amp;IF($J32&lt;&gt;""," "&amp;$J32&amp;"을(를) 보임.",""),""),IF($K32&lt;&gt;"","'"&amp;$K32&amp;"' 활동을 통해 "&amp;$L32&amp;"을(를) 수행함."&amp;IF($M32&lt;&gt;""," "&amp;$M32&amp;"을(를) 보임.",""),""),$N32))</f>
        <v/>
      </c>
      <c r="P32" s="11" t="str">
        <f aca="false">IF(O32="","",LEN(O32))</f>
        <v/>
      </c>
      <c r="Q32" s="15" t="str">
        <f aca="false">IF(O32="","-",IF(P32&gt;$B$1,"초과 (+"&amp;(P32-$B$1)&amp;"자)",IF(P32&lt;$B$1*0.5,"너무 짧음","적정")))</f>
        <v>-</v>
      </c>
    </row>
    <row r="33" customFormat="false" ht="18" hidden="false" customHeight="true" outlineLevel="0" collapsed="false">
      <c r="A33" s="11" t="str">
        <f aca="false">IF(B33="","",ROW()-3)</f>
        <v/>
      </c>
      <c r="B33" s="13"/>
      <c r="C33" s="13"/>
      <c r="D33" s="12"/>
      <c r="E33" s="13"/>
      <c r="F33" s="13"/>
      <c r="G33" s="13"/>
      <c r="H33" s="13"/>
      <c r="I33" s="13"/>
      <c r="J33" s="13"/>
      <c r="K33" s="13"/>
      <c r="L33" s="13"/>
      <c r="M33" s="13"/>
      <c r="N33" s="13"/>
      <c r="O33" s="14" t="str">
        <f aca="false">IF($B33="","",_xlfn.TEXTJOIN(" ",TRUE(),IF($E33&lt;&gt;"","'"&amp;$E33&amp;"' 활동에 참여하여 "&amp;$F33&amp;"을(를) 수행함."&amp;IF($G33&lt;&gt;""," "&amp;$G33&amp;"을(를) 보임.",""),""),IF($H33&lt;&gt;"","'"&amp;$H33&amp;"' 활동에서 "&amp;$I33&amp;"을(를) 수행함."&amp;IF($J33&lt;&gt;""," "&amp;$J33&amp;"을(를) 보임.",""),""),IF($K33&lt;&gt;"","'"&amp;$K33&amp;"' 활동을 통해 "&amp;$L33&amp;"을(를) 수행함."&amp;IF($M33&lt;&gt;""," "&amp;$M33&amp;"을(를) 보임.",""),""),$N33))</f>
        <v/>
      </c>
      <c r="P33" s="11" t="str">
        <f aca="false">IF(O33="","",LEN(O33))</f>
        <v/>
      </c>
      <c r="Q33" s="15" t="str">
        <f aca="false">IF(O33="","-",IF(P33&gt;$B$1,"초과 (+"&amp;(P33-$B$1)&amp;"자)",IF(P33&lt;$B$1*0.5,"너무 짧음","적정")))</f>
        <v>-</v>
      </c>
    </row>
    <row r="34" customFormat="false" ht="18" hidden="false" customHeight="true" outlineLevel="0" collapsed="false">
      <c r="A34" s="11" t="str">
        <f aca="false">IF(B34="","",ROW()-3)</f>
        <v/>
      </c>
      <c r="B34" s="13"/>
      <c r="C34" s="13"/>
      <c r="D34" s="12"/>
      <c r="E34" s="13"/>
      <c r="F34" s="13"/>
      <c r="G34" s="13"/>
      <c r="H34" s="13"/>
      <c r="I34" s="13"/>
      <c r="J34" s="13"/>
      <c r="K34" s="13"/>
      <c r="L34" s="13"/>
      <c r="M34" s="13"/>
      <c r="N34" s="13"/>
      <c r="O34" s="14" t="str">
        <f aca="false">IF($B34="","",_xlfn.TEXTJOIN(" ",TRUE(),IF($E34&lt;&gt;"","'"&amp;$E34&amp;"' 활동에 참여하여 "&amp;$F34&amp;"을(를) 수행함."&amp;IF($G34&lt;&gt;""," "&amp;$G34&amp;"을(를) 보임.",""),""),IF($H34&lt;&gt;"","'"&amp;$H34&amp;"' 활동에서 "&amp;$I34&amp;"을(를) 수행함."&amp;IF($J34&lt;&gt;""," "&amp;$J34&amp;"을(를) 보임.",""),""),IF($K34&lt;&gt;"","'"&amp;$K34&amp;"' 활동을 통해 "&amp;$L34&amp;"을(를) 수행함."&amp;IF($M34&lt;&gt;""," "&amp;$M34&amp;"을(를) 보임.",""),""),$N34))</f>
        <v/>
      </c>
      <c r="P34" s="11" t="str">
        <f aca="false">IF(O34="","",LEN(O34))</f>
        <v/>
      </c>
      <c r="Q34" s="15" t="str">
        <f aca="false">IF(O34="","-",IF(P34&gt;$B$1,"초과 (+"&amp;(P34-$B$1)&amp;"자)",IF(P34&lt;$B$1*0.5,"너무 짧음","적정")))</f>
        <v>-</v>
      </c>
    </row>
    <row r="35" customFormat="false" ht="18" hidden="false" customHeight="true" outlineLevel="0" collapsed="false">
      <c r="A35" s="11" t="str">
        <f aca="false">IF(B35="","",ROW()-3)</f>
        <v/>
      </c>
      <c r="B35" s="13"/>
      <c r="C35" s="13"/>
      <c r="D35" s="12"/>
      <c r="E35" s="13"/>
      <c r="F35" s="13"/>
      <c r="G35" s="13"/>
      <c r="H35" s="13"/>
      <c r="I35" s="13"/>
      <c r="J35" s="13"/>
      <c r="K35" s="13"/>
      <c r="L35" s="13"/>
      <c r="M35" s="13"/>
      <c r="N35" s="13"/>
      <c r="O35" s="14" t="str">
        <f aca="false">IF($B35="","",_xlfn.TEXTJOIN(" ",TRUE(),IF($E35&lt;&gt;"","'"&amp;$E35&amp;"' 활동에 참여하여 "&amp;$F35&amp;"을(를) 수행함."&amp;IF($G35&lt;&gt;""," "&amp;$G35&amp;"을(를) 보임.",""),""),IF($H35&lt;&gt;"","'"&amp;$H35&amp;"' 활동에서 "&amp;$I35&amp;"을(를) 수행함."&amp;IF($J35&lt;&gt;""," "&amp;$J35&amp;"을(를) 보임.",""),""),IF($K35&lt;&gt;"","'"&amp;$K35&amp;"' 활동을 통해 "&amp;$L35&amp;"을(를) 수행함."&amp;IF($M35&lt;&gt;""," "&amp;$M35&amp;"을(를) 보임.",""),""),$N35))</f>
        <v/>
      </c>
      <c r="P35" s="11" t="str">
        <f aca="false">IF(O35="","",LEN(O35))</f>
        <v/>
      </c>
      <c r="Q35" s="15" t="str">
        <f aca="false">IF(O35="","-",IF(P35&gt;$B$1,"초과 (+"&amp;(P35-$B$1)&amp;"자)",IF(P35&lt;$B$1*0.5,"너무 짧음","적정")))</f>
        <v>-</v>
      </c>
    </row>
    <row r="36" customFormat="false" ht="18" hidden="false" customHeight="true" outlineLevel="0" collapsed="false">
      <c r="A36" s="11" t="str">
        <f aca="false">IF(B36="","",ROW()-3)</f>
        <v/>
      </c>
      <c r="B36" s="13"/>
      <c r="C36" s="13"/>
      <c r="D36" s="12"/>
      <c r="E36" s="13"/>
      <c r="F36" s="13"/>
      <c r="G36" s="13"/>
      <c r="H36" s="13"/>
      <c r="I36" s="13"/>
      <c r="J36" s="13"/>
      <c r="K36" s="13"/>
      <c r="L36" s="13"/>
      <c r="M36" s="13"/>
      <c r="N36" s="13"/>
      <c r="O36" s="14" t="str">
        <f aca="false">IF($B36="","",_xlfn.TEXTJOIN(" ",TRUE(),IF($E36&lt;&gt;"","'"&amp;$E36&amp;"' 활동에 참여하여 "&amp;$F36&amp;"을(를) 수행함."&amp;IF($G36&lt;&gt;""," "&amp;$G36&amp;"을(를) 보임.",""),""),IF($H36&lt;&gt;"","'"&amp;$H36&amp;"' 활동에서 "&amp;$I36&amp;"을(를) 수행함."&amp;IF($J36&lt;&gt;""," "&amp;$J36&amp;"을(를) 보임.",""),""),IF($K36&lt;&gt;"","'"&amp;$K36&amp;"' 활동을 통해 "&amp;$L36&amp;"을(를) 수행함."&amp;IF($M36&lt;&gt;""," "&amp;$M36&amp;"을(를) 보임.",""),""),$N36))</f>
        <v/>
      </c>
      <c r="P36" s="11" t="str">
        <f aca="false">IF(O36="","",LEN(O36))</f>
        <v/>
      </c>
      <c r="Q36" s="15" t="str">
        <f aca="false">IF(O36="","-",IF(P36&gt;$B$1,"초과 (+"&amp;(P36-$B$1)&amp;"자)",IF(P36&lt;$B$1*0.5,"너무 짧음","적정")))</f>
        <v>-</v>
      </c>
    </row>
    <row r="37" customFormat="false" ht="18" hidden="false" customHeight="true" outlineLevel="0" collapsed="false">
      <c r="A37" s="11" t="str">
        <f aca="false">IF(B37="","",ROW()-3)</f>
        <v/>
      </c>
      <c r="B37" s="13"/>
      <c r="C37" s="13"/>
      <c r="D37" s="12"/>
      <c r="E37" s="13"/>
      <c r="F37" s="13"/>
      <c r="G37" s="13"/>
      <c r="H37" s="13"/>
      <c r="I37" s="13"/>
      <c r="J37" s="13"/>
      <c r="K37" s="13"/>
      <c r="L37" s="13"/>
      <c r="M37" s="13"/>
      <c r="N37" s="13"/>
      <c r="O37" s="14" t="str">
        <f aca="false">IF($B37="","",_xlfn.TEXTJOIN(" ",TRUE(),IF($E37&lt;&gt;"","'"&amp;$E37&amp;"' 활동에 참여하여 "&amp;$F37&amp;"을(를) 수행함."&amp;IF($G37&lt;&gt;""," "&amp;$G37&amp;"을(를) 보임.",""),""),IF($H37&lt;&gt;"","'"&amp;$H37&amp;"' 활동에서 "&amp;$I37&amp;"을(를) 수행함."&amp;IF($J37&lt;&gt;""," "&amp;$J37&amp;"을(를) 보임.",""),""),IF($K37&lt;&gt;"","'"&amp;$K37&amp;"' 활동을 통해 "&amp;$L37&amp;"을(를) 수행함."&amp;IF($M37&lt;&gt;""," "&amp;$M37&amp;"을(를) 보임.",""),""),$N37))</f>
        <v/>
      </c>
      <c r="P37" s="11" t="str">
        <f aca="false">IF(O37="","",LEN(O37))</f>
        <v/>
      </c>
      <c r="Q37" s="15" t="str">
        <f aca="false">IF(O37="","-",IF(P37&gt;$B$1,"초과 (+"&amp;(P37-$B$1)&amp;"자)",IF(P37&lt;$B$1*0.5,"너무 짧음","적정")))</f>
        <v>-</v>
      </c>
    </row>
    <row r="38" customFormat="false" ht="18" hidden="false" customHeight="true" outlineLevel="0" collapsed="false">
      <c r="A38" s="11" t="str">
        <f aca="false">IF(B38="","",ROW()-3)</f>
        <v/>
      </c>
      <c r="B38" s="13"/>
      <c r="C38" s="13"/>
      <c r="D38" s="12"/>
      <c r="E38" s="13"/>
      <c r="F38" s="13"/>
      <c r="G38" s="13"/>
      <c r="H38" s="13"/>
      <c r="I38" s="13"/>
      <c r="J38" s="13"/>
      <c r="K38" s="13"/>
      <c r="L38" s="13"/>
      <c r="M38" s="13"/>
      <c r="N38" s="13"/>
      <c r="O38" s="14" t="str">
        <f aca="false">IF($B38="","",_xlfn.TEXTJOIN(" ",TRUE(),IF($E38&lt;&gt;"","'"&amp;$E38&amp;"' 활동에 참여하여 "&amp;$F38&amp;"을(를) 수행함."&amp;IF($G38&lt;&gt;""," "&amp;$G38&amp;"을(를) 보임.",""),""),IF($H38&lt;&gt;"","'"&amp;$H38&amp;"' 활동에서 "&amp;$I38&amp;"을(를) 수행함."&amp;IF($J38&lt;&gt;""," "&amp;$J38&amp;"을(를) 보임.",""),""),IF($K38&lt;&gt;"","'"&amp;$K38&amp;"' 활동을 통해 "&amp;$L38&amp;"을(를) 수행함."&amp;IF($M38&lt;&gt;""," "&amp;$M38&amp;"을(를) 보임.",""),""),$N38))</f>
        <v/>
      </c>
      <c r="P38" s="11" t="str">
        <f aca="false">IF(O38="","",LEN(O38))</f>
        <v/>
      </c>
      <c r="Q38" s="15" t="str">
        <f aca="false">IF(O38="","-",IF(P38&gt;$B$1,"초과 (+"&amp;(P38-$B$1)&amp;"자)",IF(P38&lt;$B$1*0.5,"너무 짧음","적정")))</f>
        <v>-</v>
      </c>
    </row>
    <row r="39" customFormat="false" ht="18" hidden="false" customHeight="true" outlineLevel="0" collapsed="false">
      <c r="A39" s="11" t="str">
        <f aca="false">IF(B39="","",ROW()-3)</f>
        <v/>
      </c>
      <c r="B39" s="13"/>
      <c r="C39" s="13"/>
      <c r="D39" s="12"/>
      <c r="E39" s="13"/>
      <c r="F39" s="13"/>
      <c r="G39" s="13"/>
      <c r="H39" s="13"/>
      <c r="I39" s="13"/>
      <c r="J39" s="13"/>
      <c r="K39" s="13"/>
      <c r="L39" s="13"/>
      <c r="M39" s="13"/>
      <c r="N39" s="13"/>
      <c r="O39" s="14" t="str">
        <f aca="false">IF($B39="","",_xlfn.TEXTJOIN(" ",TRUE(),IF($E39&lt;&gt;"","'"&amp;$E39&amp;"' 활동에 참여하여 "&amp;$F39&amp;"을(를) 수행함."&amp;IF($G39&lt;&gt;""," "&amp;$G39&amp;"을(를) 보임.",""),""),IF($H39&lt;&gt;"","'"&amp;$H39&amp;"' 활동에서 "&amp;$I39&amp;"을(를) 수행함."&amp;IF($J39&lt;&gt;""," "&amp;$J39&amp;"을(를) 보임.",""),""),IF($K39&lt;&gt;"","'"&amp;$K39&amp;"' 활동을 통해 "&amp;$L39&amp;"을(를) 수행함."&amp;IF($M39&lt;&gt;""," "&amp;$M39&amp;"을(를) 보임.",""),""),$N39))</f>
        <v/>
      </c>
      <c r="P39" s="11" t="str">
        <f aca="false">IF(O39="","",LEN(O39))</f>
        <v/>
      </c>
      <c r="Q39" s="15" t="str">
        <f aca="false">IF(O39="","-",IF(P39&gt;$B$1,"초과 (+"&amp;(P39-$B$1)&amp;"자)",IF(P39&lt;$B$1*0.5,"너무 짧음","적정")))</f>
        <v>-</v>
      </c>
    </row>
    <row r="40" customFormat="false" ht="18" hidden="false" customHeight="true" outlineLevel="0" collapsed="false">
      <c r="A40" s="11" t="str">
        <f aca="false">IF(B40="","",ROW()-3)</f>
        <v/>
      </c>
      <c r="B40" s="13"/>
      <c r="C40" s="13"/>
      <c r="D40" s="12"/>
      <c r="E40" s="13"/>
      <c r="F40" s="13"/>
      <c r="G40" s="13"/>
      <c r="H40" s="13"/>
      <c r="I40" s="13"/>
      <c r="J40" s="13"/>
      <c r="K40" s="13"/>
      <c r="L40" s="13"/>
      <c r="M40" s="13"/>
      <c r="N40" s="13"/>
      <c r="O40" s="14" t="str">
        <f aca="false">IF($B40="","",_xlfn.TEXTJOIN(" ",TRUE(),IF($E40&lt;&gt;"","'"&amp;$E40&amp;"' 활동에 참여하여 "&amp;$F40&amp;"을(를) 수행함."&amp;IF($G40&lt;&gt;""," "&amp;$G40&amp;"을(를) 보임.",""),""),IF($H40&lt;&gt;"","'"&amp;$H40&amp;"' 활동에서 "&amp;$I40&amp;"을(를) 수행함."&amp;IF($J40&lt;&gt;""," "&amp;$J40&amp;"을(를) 보임.",""),""),IF($K40&lt;&gt;"","'"&amp;$K40&amp;"' 활동을 통해 "&amp;$L40&amp;"을(를) 수행함."&amp;IF($M40&lt;&gt;""," "&amp;$M40&amp;"을(를) 보임.",""),""),$N40))</f>
        <v/>
      </c>
      <c r="P40" s="11" t="str">
        <f aca="false">IF(O40="","",LEN(O40))</f>
        <v/>
      </c>
      <c r="Q40" s="15" t="str">
        <f aca="false">IF(O40="","-",IF(P40&gt;$B$1,"초과 (+"&amp;(P40-$B$1)&amp;"자)",IF(P40&lt;$B$1*0.5,"너무 짧음","적정")))</f>
        <v>-</v>
      </c>
    </row>
    <row r="41" customFormat="false" ht="18" hidden="false" customHeight="true" outlineLevel="0" collapsed="false">
      <c r="A41" s="11" t="str">
        <f aca="false">IF(B41="","",ROW()-3)</f>
        <v/>
      </c>
      <c r="B41" s="13"/>
      <c r="C41" s="13"/>
      <c r="D41" s="12"/>
      <c r="E41" s="13"/>
      <c r="F41" s="13"/>
      <c r="G41" s="13"/>
      <c r="H41" s="13"/>
      <c r="I41" s="13"/>
      <c r="J41" s="13"/>
      <c r="K41" s="13"/>
      <c r="L41" s="13"/>
      <c r="M41" s="13"/>
      <c r="N41" s="13"/>
      <c r="O41" s="14" t="str">
        <f aca="false">IF($B41="","",_xlfn.TEXTJOIN(" ",TRUE(),IF($E41&lt;&gt;"","'"&amp;$E41&amp;"' 활동에 참여하여 "&amp;$F41&amp;"을(를) 수행함."&amp;IF($G41&lt;&gt;""," "&amp;$G41&amp;"을(를) 보임.",""),""),IF($H41&lt;&gt;"","'"&amp;$H41&amp;"' 활동에서 "&amp;$I41&amp;"을(를) 수행함."&amp;IF($J41&lt;&gt;""," "&amp;$J41&amp;"을(를) 보임.",""),""),IF($K41&lt;&gt;"","'"&amp;$K41&amp;"' 활동을 통해 "&amp;$L41&amp;"을(를) 수행함."&amp;IF($M41&lt;&gt;""," "&amp;$M41&amp;"을(를) 보임.",""),""),$N41))</f>
        <v/>
      </c>
      <c r="P41" s="11" t="str">
        <f aca="false">IF(O41="","",LEN(O41))</f>
        <v/>
      </c>
      <c r="Q41" s="15" t="str">
        <f aca="false">IF(O41="","-",IF(P41&gt;$B$1,"초과 (+"&amp;(P41-$B$1)&amp;"자)",IF(P41&lt;$B$1*0.5,"너무 짧음","적정")))</f>
        <v>-</v>
      </c>
    </row>
    <row r="42" customFormat="false" ht="18" hidden="false" customHeight="true" outlineLevel="0" collapsed="false">
      <c r="A42" s="11" t="str">
        <f aca="false">IF(B42="","",ROW()-3)</f>
        <v/>
      </c>
      <c r="B42" s="13"/>
      <c r="C42" s="13"/>
      <c r="D42" s="12"/>
      <c r="E42" s="13"/>
      <c r="F42" s="13"/>
      <c r="G42" s="13"/>
      <c r="H42" s="13"/>
      <c r="I42" s="13"/>
      <c r="J42" s="13"/>
      <c r="K42" s="13"/>
      <c r="L42" s="13"/>
      <c r="M42" s="13"/>
      <c r="N42" s="13"/>
      <c r="O42" s="14" t="str">
        <f aca="false">IF($B42="","",_xlfn.TEXTJOIN(" ",TRUE(),IF($E42&lt;&gt;"","'"&amp;$E42&amp;"' 활동에 참여하여 "&amp;$F42&amp;"을(를) 수행함."&amp;IF($G42&lt;&gt;""," "&amp;$G42&amp;"을(를) 보임.",""),""),IF($H42&lt;&gt;"","'"&amp;$H42&amp;"' 활동에서 "&amp;$I42&amp;"을(를) 수행함."&amp;IF($J42&lt;&gt;""," "&amp;$J42&amp;"을(를) 보임.",""),""),IF($K42&lt;&gt;"","'"&amp;$K42&amp;"' 활동을 통해 "&amp;$L42&amp;"을(를) 수행함."&amp;IF($M42&lt;&gt;""," "&amp;$M42&amp;"을(를) 보임.",""),""),$N42))</f>
        <v/>
      </c>
      <c r="P42" s="11" t="str">
        <f aca="false">IF(O42="","",LEN(O42))</f>
        <v/>
      </c>
      <c r="Q42" s="15" t="str">
        <f aca="false">IF(O42="","-",IF(P42&gt;$B$1,"초과 (+"&amp;(P42-$B$1)&amp;"자)",IF(P42&lt;$B$1*0.5,"너무 짧음","적정")))</f>
        <v>-</v>
      </c>
    </row>
    <row r="43" customFormat="false" ht="18" hidden="false" customHeight="true" outlineLevel="0" collapsed="false">
      <c r="A43" s="11" t="str">
        <f aca="false">IF(B43="","",ROW()-3)</f>
        <v/>
      </c>
      <c r="B43" s="13"/>
      <c r="C43" s="13"/>
      <c r="D43" s="12"/>
      <c r="E43" s="13"/>
      <c r="F43" s="13"/>
      <c r="G43" s="13"/>
      <c r="H43" s="13"/>
      <c r="I43" s="13"/>
      <c r="J43" s="13"/>
      <c r="K43" s="13"/>
      <c r="L43" s="13"/>
      <c r="M43" s="13"/>
      <c r="N43" s="13"/>
      <c r="O43" s="14" t="str">
        <f aca="false">IF($B43="","",_xlfn.TEXTJOIN(" ",TRUE(),IF($E43&lt;&gt;"","'"&amp;$E43&amp;"' 활동에 참여하여 "&amp;$F43&amp;"을(를) 수행함."&amp;IF($G43&lt;&gt;""," "&amp;$G43&amp;"을(를) 보임.",""),""),IF($H43&lt;&gt;"","'"&amp;$H43&amp;"' 활동에서 "&amp;$I43&amp;"을(를) 수행함."&amp;IF($J43&lt;&gt;""," "&amp;$J43&amp;"을(를) 보임.",""),""),IF($K43&lt;&gt;"","'"&amp;$K43&amp;"' 활동을 통해 "&amp;$L43&amp;"을(를) 수행함."&amp;IF($M43&lt;&gt;""," "&amp;$M43&amp;"을(를) 보임.",""),""),$N43))</f>
        <v/>
      </c>
      <c r="P43" s="11" t="str">
        <f aca="false">IF(O43="","",LEN(O43))</f>
        <v/>
      </c>
      <c r="Q43" s="15" t="str">
        <f aca="false">IF(O43="","-",IF(P43&gt;$B$1,"초과 (+"&amp;(P43-$B$1)&amp;"자)",IF(P43&lt;$B$1*0.5,"너무 짧음","적정")))</f>
        <v>-</v>
      </c>
    </row>
    <row r="44" customFormat="false" ht="18" hidden="false" customHeight="true" outlineLevel="0" collapsed="false">
      <c r="A44" s="11" t="str">
        <f aca="false">IF(B44="","",ROW()-3)</f>
        <v/>
      </c>
      <c r="B44" s="13"/>
      <c r="C44" s="13"/>
      <c r="D44" s="12"/>
      <c r="E44" s="13"/>
      <c r="F44" s="13"/>
      <c r="G44" s="13"/>
      <c r="H44" s="13"/>
      <c r="I44" s="13"/>
      <c r="J44" s="13"/>
      <c r="K44" s="13"/>
      <c r="L44" s="13"/>
      <c r="M44" s="13"/>
      <c r="N44" s="13"/>
      <c r="O44" s="14" t="str">
        <f aca="false">IF($B44="","",_xlfn.TEXTJOIN(" ",TRUE(),IF($E44&lt;&gt;"","'"&amp;$E44&amp;"' 활동에 참여하여 "&amp;$F44&amp;"을(를) 수행함."&amp;IF($G44&lt;&gt;""," "&amp;$G44&amp;"을(를) 보임.",""),""),IF($H44&lt;&gt;"","'"&amp;$H44&amp;"' 활동에서 "&amp;$I44&amp;"을(를) 수행함."&amp;IF($J44&lt;&gt;""," "&amp;$J44&amp;"을(를) 보임.",""),""),IF($K44&lt;&gt;"","'"&amp;$K44&amp;"' 활동을 통해 "&amp;$L44&amp;"을(를) 수행함."&amp;IF($M44&lt;&gt;""," "&amp;$M44&amp;"을(를) 보임.",""),""),$N44))</f>
        <v/>
      </c>
      <c r="P44" s="11" t="str">
        <f aca="false">IF(O44="","",LEN(O44))</f>
        <v/>
      </c>
      <c r="Q44" s="15" t="str">
        <f aca="false">IF(O44="","-",IF(P44&gt;$B$1,"초과 (+"&amp;(P44-$B$1)&amp;"자)",IF(P44&lt;$B$1*0.5,"너무 짧음","적정")))</f>
        <v>-</v>
      </c>
    </row>
    <row r="45" customFormat="false" ht="18" hidden="false" customHeight="true" outlineLevel="0" collapsed="false">
      <c r="A45" s="11" t="str">
        <f aca="false">IF(B45="","",ROW()-3)</f>
        <v/>
      </c>
      <c r="B45" s="13"/>
      <c r="C45" s="13"/>
      <c r="D45" s="12"/>
      <c r="E45" s="13"/>
      <c r="F45" s="13"/>
      <c r="G45" s="13"/>
      <c r="H45" s="13"/>
      <c r="I45" s="13"/>
      <c r="J45" s="13"/>
      <c r="K45" s="13"/>
      <c r="L45" s="13"/>
      <c r="M45" s="13"/>
      <c r="N45" s="13"/>
      <c r="O45" s="14" t="str">
        <f aca="false">IF($B45="","",_xlfn.TEXTJOIN(" ",TRUE(),IF($E45&lt;&gt;"","'"&amp;$E45&amp;"' 활동에 참여하여 "&amp;$F45&amp;"을(를) 수행함."&amp;IF($G45&lt;&gt;""," "&amp;$G45&amp;"을(를) 보임.",""),""),IF($H45&lt;&gt;"","'"&amp;$H45&amp;"' 활동에서 "&amp;$I45&amp;"을(를) 수행함."&amp;IF($J45&lt;&gt;""," "&amp;$J45&amp;"을(를) 보임.",""),""),IF($K45&lt;&gt;"","'"&amp;$K45&amp;"' 활동을 통해 "&amp;$L45&amp;"을(를) 수행함."&amp;IF($M45&lt;&gt;""," "&amp;$M45&amp;"을(를) 보임.",""),""),$N45))</f>
        <v/>
      </c>
      <c r="P45" s="11" t="str">
        <f aca="false">IF(O45="","",LEN(O45))</f>
        <v/>
      </c>
      <c r="Q45" s="15" t="str">
        <f aca="false">IF(O45="","-",IF(P45&gt;$B$1,"초과 (+"&amp;(P45-$B$1)&amp;"자)",IF(P45&lt;$B$1*0.5,"너무 짧음","적정")))</f>
        <v>-</v>
      </c>
    </row>
    <row r="46" customFormat="false" ht="18" hidden="false" customHeight="true" outlineLevel="0" collapsed="false">
      <c r="A46" s="11" t="str">
        <f aca="false">IF(B46="","",ROW()-3)</f>
        <v/>
      </c>
      <c r="B46" s="13"/>
      <c r="C46" s="13"/>
      <c r="D46" s="12"/>
      <c r="E46" s="13"/>
      <c r="F46" s="13"/>
      <c r="G46" s="13"/>
      <c r="H46" s="13"/>
      <c r="I46" s="13"/>
      <c r="J46" s="13"/>
      <c r="K46" s="13"/>
      <c r="L46" s="13"/>
      <c r="M46" s="13"/>
      <c r="N46" s="13"/>
      <c r="O46" s="14" t="str">
        <f aca="false">IF($B46="","",_xlfn.TEXTJOIN(" ",TRUE(),IF($E46&lt;&gt;"","'"&amp;$E46&amp;"' 활동에 참여하여 "&amp;$F46&amp;"을(를) 수행함."&amp;IF($G46&lt;&gt;""," "&amp;$G46&amp;"을(를) 보임.",""),""),IF($H46&lt;&gt;"","'"&amp;$H46&amp;"' 활동에서 "&amp;$I46&amp;"을(를) 수행함."&amp;IF($J46&lt;&gt;""," "&amp;$J46&amp;"을(를) 보임.",""),""),IF($K46&lt;&gt;"","'"&amp;$K46&amp;"' 활동을 통해 "&amp;$L46&amp;"을(를) 수행함."&amp;IF($M46&lt;&gt;""," "&amp;$M46&amp;"을(를) 보임.",""),""),$N46))</f>
        <v/>
      </c>
      <c r="P46" s="11" t="str">
        <f aca="false">IF(O46="","",LEN(O46))</f>
        <v/>
      </c>
      <c r="Q46" s="15" t="str">
        <f aca="false">IF(O46="","-",IF(P46&gt;$B$1,"초과 (+"&amp;(P46-$B$1)&amp;"자)",IF(P46&lt;$B$1*0.5,"너무 짧음","적정")))</f>
        <v>-</v>
      </c>
    </row>
    <row r="47" customFormat="false" ht="18" hidden="false" customHeight="true" outlineLevel="0" collapsed="false">
      <c r="A47" s="11" t="str">
        <f aca="false">IF(B47="","",ROW()-3)</f>
        <v/>
      </c>
      <c r="B47" s="13"/>
      <c r="C47" s="13"/>
      <c r="D47" s="12"/>
      <c r="E47" s="13"/>
      <c r="F47" s="13"/>
      <c r="G47" s="13"/>
      <c r="H47" s="13"/>
      <c r="I47" s="13"/>
      <c r="J47" s="13"/>
      <c r="K47" s="13"/>
      <c r="L47" s="13"/>
      <c r="M47" s="13"/>
      <c r="N47" s="13"/>
      <c r="O47" s="14" t="str">
        <f aca="false">IF($B47="","",_xlfn.TEXTJOIN(" ",TRUE(),IF($E47&lt;&gt;"","'"&amp;$E47&amp;"' 활동에 참여하여 "&amp;$F47&amp;"을(를) 수행함."&amp;IF($G47&lt;&gt;""," "&amp;$G47&amp;"을(를) 보임.",""),""),IF($H47&lt;&gt;"","'"&amp;$H47&amp;"' 활동에서 "&amp;$I47&amp;"을(를) 수행함."&amp;IF($J47&lt;&gt;""," "&amp;$J47&amp;"을(를) 보임.",""),""),IF($K47&lt;&gt;"","'"&amp;$K47&amp;"' 활동을 통해 "&amp;$L47&amp;"을(를) 수행함."&amp;IF($M47&lt;&gt;""," "&amp;$M47&amp;"을(를) 보임.",""),""),$N47))</f>
        <v/>
      </c>
      <c r="P47" s="11" t="str">
        <f aca="false">IF(O47="","",LEN(O47))</f>
        <v/>
      </c>
      <c r="Q47" s="15" t="str">
        <f aca="false">IF(O47="","-",IF(P47&gt;$B$1,"초과 (+"&amp;(P47-$B$1)&amp;"자)",IF(P47&lt;$B$1*0.5,"너무 짧음","적정")))</f>
        <v>-</v>
      </c>
    </row>
    <row r="48" customFormat="false" ht="18" hidden="false" customHeight="true" outlineLevel="0" collapsed="false">
      <c r="A48" s="11" t="str">
        <f aca="false">IF(B48="","",ROW()-3)</f>
        <v/>
      </c>
      <c r="B48" s="13"/>
      <c r="C48" s="13"/>
      <c r="D48" s="12"/>
      <c r="E48" s="13"/>
      <c r="F48" s="13"/>
      <c r="G48" s="13"/>
      <c r="H48" s="13"/>
      <c r="I48" s="13"/>
      <c r="J48" s="13"/>
      <c r="K48" s="13"/>
      <c r="L48" s="13"/>
      <c r="M48" s="13"/>
      <c r="N48" s="13"/>
      <c r="O48" s="14" t="str">
        <f aca="false">IF($B48="","",_xlfn.TEXTJOIN(" ",TRUE(),IF($E48&lt;&gt;"","'"&amp;$E48&amp;"' 활동에 참여하여 "&amp;$F48&amp;"을(를) 수행함."&amp;IF($G48&lt;&gt;""," "&amp;$G48&amp;"을(를) 보임.",""),""),IF($H48&lt;&gt;"","'"&amp;$H48&amp;"' 활동에서 "&amp;$I48&amp;"을(를) 수행함."&amp;IF($J48&lt;&gt;""," "&amp;$J48&amp;"을(를) 보임.",""),""),IF($K48&lt;&gt;"","'"&amp;$K48&amp;"' 활동을 통해 "&amp;$L48&amp;"을(를) 수행함."&amp;IF($M48&lt;&gt;""," "&amp;$M48&amp;"을(를) 보임.",""),""),$N48))</f>
        <v/>
      </c>
      <c r="P48" s="11" t="str">
        <f aca="false">IF(O48="","",LEN(O48))</f>
        <v/>
      </c>
      <c r="Q48" s="15" t="str">
        <f aca="false">IF(O48="","-",IF(P48&gt;$B$1,"초과 (+"&amp;(P48-$B$1)&amp;"자)",IF(P48&lt;$B$1*0.5,"너무 짧음","적정")))</f>
        <v>-</v>
      </c>
    </row>
    <row r="49" customFormat="false" ht="18" hidden="false" customHeight="true" outlineLevel="0" collapsed="false">
      <c r="A49" s="11" t="str">
        <f aca="false">IF(B49="","",ROW()-3)</f>
        <v/>
      </c>
      <c r="B49" s="13"/>
      <c r="C49" s="13"/>
      <c r="D49" s="12"/>
      <c r="E49" s="13"/>
      <c r="F49" s="13"/>
      <c r="G49" s="13"/>
      <c r="H49" s="13"/>
      <c r="I49" s="13"/>
      <c r="J49" s="13"/>
      <c r="K49" s="13"/>
      <c r="L49" s="13"/>
      <c r="M49" s="13"/>
      <c r="N49" s="13"/>
      <c r="O49" s="14" t="str">
        <f aca="false">IF($B49="","",_xlfn.TEXTJOIN(" ",TRUE(),IF($E49&lt;&gt;"","'"&amp;$E49&amp;"' 활동에 참여하여 "&amp;$F49&amp;"을(를) 수행함."&amp;IF($G49&lt;&gt;""," "&amp;$G49&amp;"을(를) 보임.",""),""),IF($H49&lt;&gt;"","'"&amp;$H49&amp;"' 활동에서 "&amp;$I49&amp;"을(를) 수행함."&amp;IF($J49&lt;&gt;""," "&amp;$J49&amp;"을(를) 보임.",""),""),IF($K49&lt;&gt;"","'"&amp;$K49&amp;"' 활동을 통해 "&amp;$L49&amp;"을(를) 수행함."&amp;IF($M49&lt;&gt;""," "&amp;$M49&amp;"을(를) 보임.",""),""),$N49))</f>
        <v/>
      </c>
      <c r="P49" s="11" t="str">
        <f aca="false">IF(O49="","",LEN(O49))</f>
        <v/>
      </c>
      <c r="Q49" s="15" t="str">
        <f aca="false">IF(O49="","-",IF(P49&gt;$B$1,"초과 (+"&amp;(P49-$B$1)&amp;"자)",IF(P49&lt;$B$1*0.5,"너무 짧음","적정")))</f>
        <v>-</v>
      </c>
    </row>
    <row r="50" customFormat="false" ht="18" hidden="false" customHeight="true" outlineLevel="0" collapsed="false">
      <c r="A50" s="11" t="str">
        <f aca="false">IF(B50="","",ROW()-3)</f>
        <v/>
      </c>
      <c r="B50" s="13"/>
      <c r="C50" s="13"/>
      <c r="D50" s="12"/>
      <c r="E50" s="13"/>
      <c r="F50" s="13"/>
      <c r="G50" s="13"/>
      <c r="H50" s="13"/>
      <c r="I50" s="13"/>
      <c r="J50" s="13"/>
      <c r="K50" s="13"/>
      <c r="L50" s="13"/>
      <c r="M50" s="13"/>
      <c r="N50" s="13"/>
      <c r="O50" s="14" t="str">
        <f aca="false">IF($B50="","",_xlfn.TEXTJOIN(" ",TRUE(),IF($E50&lt;&gt;"","'"&amp;$E50&amp;"' 활동에 참여하여 "&amp;$F50&amp;"을(를) 수행함."&amp;IF($G50&lt;&gt;""," "&amp;$G50&amp;"을(를) 보임.",""),""),IF($H50&lt;&gt;"","'"&amp;$H50&amp;"' 활동에서 "&amp;$I50&amp;"을(를) 수행함."&amp;IF($J50&lt;&gt;""," "&amp;$J50&amp;"을(를) 보임.",""),""),IF($K50&lt;&gt;"","'"&amp;$K50&amp;"' 활동을 통해 "&amp;$L50&amp;"을(를) 수행함."&amp;IF($M50&lt;&gt;""," "&amp;$M50&amp;"을(를) 보임.",""),""),$N50))</f>
        <v/>
      </c>
      <c r="P50" s="11" t="str">
        <f aca="false">IF(O50="","",LEN(O50))</f>
        <v/>
      </c>
      <c r="Q50" s="15" t="str">
        <f aca="false">IF(O50="","-",IF(P50&gt;$B$1,"초과 (+"&amp;(P50-$B$1)&amp;"자)",IF(P50&lt;$B$1*0.5,"너무 짧음","적정")))</f>
        <v>-</v>
      </c>
    </row>
    <row r="51" customFormat="false" ht="18" hidden="false" customHeight="true" outlineLevel="0" collapsed="false">
      <c r="A51" s="11" t="str">
        <f aca="false">IF(B51="","",ROW()-3)</f>
        <v/>
      </c>
      <c r="B51" s="13"/>
      <c r="C51" s="13"/>
      <c r="D51" s="12"/>
      <c r="E51" s="13"/>
      <c r="F51" s="13"/>
      <c r="G51" s="13"/>
      <c r="H51" s="13"/>
      <c r="I51" s="13"/>
      <c r="J51" s="13"/>
      <c r="K51" s="13"/>
      <c r="L51" s="13"/>
      <c r="M51" s="13"/>
      <c r="N51" s="13"/>
      <c r="O51" s="14" t="str">
        <f aca="false">IF($B51="","",_xlfn.TEXTJOIN(" ",TRUE(),IF($E51&lt;&gt;"","'"&amp;$E51&amp;"' 활동에 참여하여 "&amp;$F51&amp;"을(를) 수행함."&amp;IF($G51&lt;&gt;""," "&amp;$G51&amp;"을(를) 보임.",""),""),IF($H51&lt;&gt;"","'"&amp;$H51&amp;"' 활동에서 "&amp;$I51&amp;"을(를) 수행함."&amp;IF($J51&lt;&gt;""," "&amp;$J51&amp;"을(를) 보임.",""),""),IF($K51&lt;&gt;"","'"&amp;$K51&amp;"' 활동을 통해 "&amp;$L51&amp;"을(를) 수행함."&amp;IF($M51&lt;&gt;""," "&amp;$M51&amp;"을(를) 보임.",""),""),$N51))</f>
        <v/>
      </c>
      <c r="P51" s="11" t="str">
        <f aca="false">IF(O51="","",LEN(O51))</f>
        <v/>
      </c>
      <c r="Q51" s="15" t="str">
        <f aca="false">IF(O51="","-",IF(P51&gt;$B$1,"초과 (+"&amp;(P51-$B$1)&amp;"자)",IF(P51&lt;$B$1*0.5,"너무 짧음","적정")))</f>
        <v>-</v>
      </c>
    </row>
    <row r="52" customFormat="false" ht="18" hidden="false" customHeight="true" outlineLevel="0" collapsed="false">
      <c r="A52" s="11" t="str">
        <f aca="false">IF(B52="","",ROW()-3)</f>
        <v/>
      </c>
      <c r="B52" s="13"/>
      <c r="C52" s="13"/>
      <c r="D52" s="12"/>
      <c r="E52" s="13"/>
      <c r="F52" s="13"/>
      <c r="G52" s="13"/>
      <c r="H52" s="13"/>
      <c r="I52" s="13"/>
      <c r="J52" s="13"/>
      <c r="K52" s="13"/>
      <c r="L52" s="13"/>
      <c r="M52" s="13"/>
      <c r="N52" s="13"/>
      <c r="O52" s="14" t="str">
        <f aca="false">IF($B52="","",_xlfn.TEXTJOIN(" ",TRUE(),IF($E52&lt;&gt;"","'"&amp;$E52&amp;"' 활동에 참여하여 "&amp;$F52&amp;"을(를) 수행함."&amp;IF($G52&lt;&gt;""," "&amp;$G52&amp;"을(를) 보임.",""),""),IF($H52&lt;&gt;"","'"&amp;$H52&amp;"' 활동에서 "&amp;$I52&amp;"을(를) 수행함."&amp;IF($J52&lt;&gt;""," "&amp;$J52&amp;"을(를) 보임.",""),""),IF($K52&lt;&gt;"","'"&amp;$K52&amp;"' 활동을 통해 "&amp;$L52&amp;"을(를) 수행함."&amp;IF($M52&lt;&gt;""," "&amp;$M52&amp;"을(를) 보임.",""),""),$N52))</f>
        <v/>
      </c>
      <c r="P52" s="11" t="str">
        <f aca="false">IF(O52="","",LEN(O52))</f>
        <v/>
      </c>
      <c r="Q52" s="15" t="str">
        <f aca="false">IF(O52="","-",IF(P52&gt;$B$1,"초과 (+"&amp;(P52-$B$1)&amp;"자)",IF(P52&lt;$B$1*0.5,"너무 짧음","적정")))</f>
        <v>-</v>
      </c>
    </row>
    <row r="53" customFormat="false" ht="18" hidden="false" customHeight="true" outlineLevel="0" collapsed="false">
      <c r="A53" s="11" t="str">
        <f aca="false">IF(B53="","",ROW()-3)</f>
        <v/>
      </c>
      <c r="B53" s="13"/>
      <c r="C53" s="13"/>
      <c r="D53" s="12"/>
      <c r="E53" s="13"/>
      <c r="F53" s="13"/>
      <c r="G53" s="13"/>
      <c r="H53" s="13"/>
      <c r="I53" s="13"/>
      <c r="J53" s="13"/>
      <c r="K53" s="13"/>
      <c r="L53" s="13"/>
      <c r="M53" s="13"/>
      <c r="N53" s="13"/>
      <c r="O53" s="14" t="str">
        <f aca="false">IF($B53="","",_xlfn.TEXTJOIN(" ",TRUE(),IF($E53&lt;&gt;"","'"&amp;$E53&amp;"' 활동에 참여하여 "&amp;$F53&amp;"을(를) 수행함."&amp;IF($G53&lt;&gt;""," "&amp;$G53&amp;"을(를) 보임.",""),""),IF($H53&lt;&gt;"","'"&amp;$H53&amp;"' 활동에서 "&amp;$I53&amp;"을(를) 수행함."&amp;IF($J53&lt;&gt;""," "&amp;$J53&amp;"을(를) 보임.",""),""),IF($K53&lt;&gt;"","'"&amp;$K53&amp;"' 활동을 통해 "&amp;$L53&amp;"을(를) 수행함."&amp;IF($M53&lt;&gt;""," "&amp;$M53&amp;"을(를) 보임.",""),""),$N53))</f>
        <v/>
      </c>
      <c r="P53" s="11" t="str">
        <f aca="false">IF(O53="","",LEN(O53))</f>
        <v/>
      </c>
      <c r="Q53" s="15" t="str">
        <f aca="false">IF(O53="","-",IF(P53&gt;$B$1,"초과 (+"&amp;(P53-$B$1)&amp;"자)",IF(P53&lt;$B$1*0.5,"너무 짧음","적정")))</f>
        <v>-</v>
      </c>
    </row>
  </sheetData>
  <conditionalFormatting sqref="Q4:Q53">
    <cfRule type="cellIs" priority="2" operator="equal" aboveAverage="0" equalAverage="0" bottom="0" percent="0" rank="0" text="" dxfId="0">
      <formula>"적정"</formula>
    </cfRule>
  </conditionalFormatting>
  <dataValidations count="1">
    <dataValidation allowBlank="true" error="목록에 없는 과목은 직접 입력하셔도 됩니다." errorStyle="warning" operator="between" showDropDown="false" showErrorMessage="false" showInputMessage="false" sqref="D4:D53" type="list">
      <formula1>"국어,수학,영어,사회,역사,도덕,과학,물리학,화학,생명과학,지구과학,기술·가정,정보,체육,음악,미술,한국사,진로와 직업"</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2026-07-26T00:59:27Z</dcterms:created>
  <dc:creator>openpyxl</dc:creator>
  <dc:description/>
  <dc:language>en-US</dc:language>
  <cp:lastModifiedBy/>
  <dcterms:modified xsi:type="dcterms:W3CDTF">2026-07-26T00:59:27Z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